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ane.santana\Downloads\"/>
    </mc:Choice>
  </mc:AlternateContent>
  <xr:revisionPtr revIDLastSave="0" documentId="13_ncr:1_{9F17F856-9C52-493A-8468-EAFCE246CEE6}" xr6:coauthVersionLast="36" xr6:coauthVersionMax="36" xr10:uidLastSave="{00000000-0000-0000-0000-000000000000}"/>
  <bookViews>
    <workbookView xWindow="0" yWindow="0" windowWidth="23040" windowHeight="8652" xr2:uid="{65360FE8-8AB9-4059-9035-6EB86D073922}"/>
  </bookViews>
  <sheets>
    <sheet name="Base_Contratos" sheetId="1" r:id="rId1"/>
  </sheets>
  <externalReferences>
    <externalReference r:id="rId2"/>
  </externalReferences>
  <definedNames>
    <definedName name="_xlnm._FilterDatabase" localSheetId="0" hidden="1">Base_Contratos!$A$1:$T$14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1" l="1"/>
</calcChain>
</file>

<file path=xl/sharedStrings.xml><?xml version="1.0" encoding="utf-8"?>
<sst xmlns="http://schemas.openxmlformats.org/spreadsheetml/2006/main" count="390" uniqueCount="211">
  <si>
    <t>N° Obra</t>
  </si>
  <si>
    <t>N° Contrato</t>
  </si>
  <si>
    <t>Status</t>
  </si>
  <si>
    <t>NM Contrato</t>
  </si>
  <si>
    <t>Escopo</t>
  </si>
  <si>
    <t>Cidade</t>
  </si>
  <si>
    <t>Desconto Licitação</t>
  </si>
  <si>
    <t>Valor Inicial</t>
  </si>
  <si>
    <t>Aditivo</t>
  </si>
  <si>
    <t>Supressão</t>
  </si>
  <si>
    <t>% Acréscimo</t>
  </si>
  <si>
    <t>Valor Final Contratual</t>
  </si>
  <si>
    <t>Custo Previsto</t>
  </si>
  <si>
    <t>Início Contrato</t>
  </si>
  <si>
    <t>Fim Contrato</t>
  </si>
  <si>
    <t>Vigência Atual</t>
  </si>
  <si>
    <t>TRP</t>
  </si>
  <si>
    <t>TRD</t>
  </si>
  <si>
    <t>Atestado de Capacidade</t>
  </si>
  <si>
    <t>Observações</t>
  </si>
  <si>
    <t>Prazo Finalização Processo</t>
  </si>
  <si>
    <t>117/2025</t>
  </si>
  <si>
    <t>Ativo</t>
  </si>
  <si>
    <t xml:space="preserve">ATA Registro de Preços  - Manutenção Proprios Publicos </t>
  </si>
  <si>
    <t>Caraguatatuba</t>
  </si>
  <si>
    <t xml:space="preserve">Não </t>
  </si>
  <si>
    <t xml:space="preserve">Receber os TRP das obras finalizadas. Levantamento real de todas unidades. </t>
  </si>
  <si>
    <t>Itapira - SP</t>
  </si>
  <si>
    <t>Escopo de serviço e orçamento (03 OS urgêntes).</t>
  </si>
  <si>
    <t>064/2021</t>
  </si>
  <si>
    <t>Encerrado</t>
  </si>
  <si>
    <t>Reforma Estrutural Centro de Ressocialização</t>
  </si>
  <si>
    <t>Rio Claro - SP</t>
  </si>
  <si>
    <t>Sim</t>
  </si>
  <si>
    <t>166/2021</t>
  </si>
  <si>
    <t>Encerrado c/pend</t>
  </si>
  <si>
    <t>Construção de Escola Pré-moldado</t>
  </si>
  <si>
    <t>Relatório fotografico 03/06.</t>
  </si>
  <si>
    <t>001/2021</t>
  </si>
  <si>
    <t>Construção de Escola</t>
  </si>
  <si>
    <t>Dois Corregos - SP</t>
  </si>
  <si>
    <t>Fatura em aberto R$ 618.865,40.</t>
  </si>
  <si>
    <t>TA,TRD e Medição Final. Ação de cobrança até 15/05.</t>
  </si>
  <si>
    <t>012/2021</t>
  </si>
  <si>
    <t xml:space="preserve">Cosntrução Cozinha Industrial CDP </t>
  </si>
  <si>
    <t>Itapecerica da Serra - SP</t>
  </si>
  <si>
    <t>Volta da fiscal dia 07/06 para conferência.</t>
  </si>
  <si>
    <t>014/2021</t>
  </si>
  <si>
    <t>Maua - SP</t>
  </si>
  <si>
    <t>015/2021</t>
  </si>
  <si>
    <t>São Jose dos Campos - SP</t>
  </si>
  <si>
    <t>Verificar com o lanzoni TRD.</t>
  </si>
  <si>
    <t>083/2022</t>
  </si>
  <si>
    <t xml:space="preserve">Construção Centro de Especialidades </t>
  </si>
  <si>
    <t>Barretos - SP</t>
  </si>
  <si>
    <t>Fatura em aberto R$ 1.937.000,00 e R$ 860.000,00 a Faturar.</t>
  </si>
  <si>
    <t>Resposta da defensória pública sobre a climatização. (elevador parado) Retorno sobre 11/05.</t>
  </si>
  <si>
    <t>333/2022</t>
  </si>
  <si>
    <t>Reforma e Ampliação Escola</t>
  </si>
  <si>
    <t>Indice de reajuste 4° aniversário.</t>
  </si>
  <si>
    <t>Levantar do Estoque.</t>
  </si>
  <si>
    <t>048/2022</t>
  </si>
  <si>
    <t>Fatura em aberto R$ 328.307,21.</t>
  </si>
  <si>
    <t>TRD e Ates.Cap. com o pgto do empenho do convênio. Fernanda.</t>
  </si>
  <si>
    <t>054/2022</t>
  </si>
  <si>
    <t>Cosntrução Pista de Caminhada</t>
  </si>
  <si>
    <t>Monte Azul - SP</t>
  </si>
  <si>
    <t>055/2022</t>
  </si>
  <si>
    <t>Construção Quadra</t>
  </si>
  <si>
    <t>056/2022</t>
  </si>
  <si>
    <t>Reforma das Praças</t>
  </si>
  <si>
    <t>063/2022</t>
  </si>
  <si>
    <t>Torrinha - SP</t>
  </si>
  <si>
    <t>015/2022</t>
  </si>
  <si>
    <t>Reforma Estrutural SESI</t>
  </si>
  <si>
    <t>Ferraz de Vasconcelos - SP</t>
  </si>
  <si>
    <t>016/2022</t>
  </si>
  <si>
    <t>Retrofit Fachada SESI</t>
  </si>
  <si>
    <t>Sorocaba - SP</t>
  </si>
  <si>
    <t>71/2022</t>
  </si>
  <si>
    <t>Reforma Cobertura Metálica HC</t>
  </si>
  <si>
    <t>São Paulo - SP</t>
  </si>
  <si>
    <t>005/2023</t>
  </si>
  <si>
    <t>Reforma e Adeuação para obtenção AVCB</t>
  </si>
  <si>
    <t>Itirapina - SP</t>
  </si>
  <si>
    <t>127/2023</t>
  </si>
  <si>
    <t>Construção de duas Escolas SP OBRAS</t>
  </si>
  <si>
    <t>Entrega Emei falta elevador, reservatório elevado, sisterna, muro de divisa (fazer os testes com gerador) 10/06. AVCB documento de posse do terreno.</t>
  </si>
  <si>
    <t>Emef Conversar com SPObras sobre eles executarem o muro de arrimo. Reunião 01/06 sobre o muro e aditivo, rever o orçamento da cota do projeto da viga. Orçamento cobrar Edimilson.</t>
  </si>
  <si>
    <t>143/2023</t>
  </si>
  <si>
    <t>Reforma e Ampliação Centro PCD</t>
  </si>
  <si>
    <t>São Caetano do Sul - SP</t>
  </si>
  <si>
    <t>Reforma e Ampliação Centro AME - Hospital</t>
  </si>
  <si>
    <t>São Bernardo do Campo - SP</t>
  </si>
  <si>
    <t>Reunião dia 02/07 definição de corte até o cinza. Revisão do diário de obra de um ano para trás. Valor a ser pago R$ 317.033,37. Ver sobre reforço da laje em vez de demolir</t>
  </si>
  <si>
    <t>106/2025</t>
  </si>
  <si>
    <t>Cancelado</t>
  </si>
  <si>
    <t>Construção Escola</t>
  </si>
  <si>
    <t>Andradina - SP</t>
  </si>
  <si>
    <t>Indeferiram nossa solicitação de rescisão aplicando uma multa de R$786.535,22, temos que apresentar uma nova defesa.</t>
  </si>
  <si>
    <t>Construção CAPS</t>
  </si>
  <si>
    <t>Sumaré - SP</t>
  </si>
  <si>
    <t>Não</t>
  </si>
  <si>
    <t>091/2025</t>
  </si>
  <si>
    <t>UBS Santa Luiza</t>
  </si>
  <si>
    <t>Itaim Paulista - SP</t>
  </si>
  <si>
    <t>Estruturali cobrar dinheiro de volta 11mil. Montar estratégia para pleitear TA de prazo.</t>
  </si>
  <si>
    <t>Plano de avanço físico (Eliel). Revisão do projeto de instalações.</t>
  </si>
  <si>
    <t>601/2026</t>
  </si>
  <si>
    <t xml:space="preserve">Policlinica </t>
  </si>
  <si>
    <t>Guarulhos - SP</t>
  </si>
  <si>
    <t>02/06 Reunião de aprovação do projeto (Fernanda). Levantamento dos itens do TA 25%</t>
  </si>
  <si>
    <t>007/SVMA/2026</t>
  </si>
  <si>
    <t>Parque Linear Itapaiuna - Sec Verde</t>
  </si>
  <si>
    <t>Orçamento Executivo primeira fase.</t>
  </si>
  <si>
    <t>Itaquaquecetuba - SP</t>
  </si>
  <si>
    <t>Levantar o escopo de toda a movimentação de terra. (Eliel)</t>
  </si>
  <si>
    <t>160/2021</t>
  </si>
  <si>
    <t>Reforma e Manutenções</t>
  </si>
  <si>
    <t>Diadema - SP</t>
  </si>
  <si>
    <t>003/2024</t>
  </si>
  <si>
    <t>Manutenção Predial - Saúde Leste</t>
  </si>
  <si>
    <t>66 OS Abertas.</t>
  </si>
  <si>
    <t>69/00201/21/01</t>
  </si>
  <si>
    <t>FDE - Reforma Escola Prof Miquelina</t>
  </si>
  <si>
    <t>Lorena - SP</t>
  </si>
  <si>
    <t>FDE - Reforma Escola EE Ver Alay Jose Correa</t>
  </si>
  <si>
    <t>Registro - SP</t>
  </si>
  <si>
    <t>69/00235/21/02</t>
  </si>
  <si>
    <t>FDE - Reforma Escola EE Joao da Cruz Mellão</t>
  </si>
  <si>
    <t>Teodoro Sampaio - SP</t>
  </si>
  <si>
    <t>69/00250/21/02</t>
  </si>
  <si>
    <t xml:space="preserve">FDE - Reforma Cobertura </t>
  </si>
  <si>
    <t>Americana - SP</t>
  </si>
  <si>
    <t>Falta Atestado de Capacidade.</t>
  </si>
  <si>
    <t>Agnelo dar retorno.</t>
  </si>
  <si>
    <t>Elias Fausto - SP</t>
  </si>
  <si>
    <t>Hortolandia -SP</t>
  </si>
  <si>
    <t>70/00375/21/02</t>
  </si>
  <si>
    <t>FDE - Construção de Quadra em Pré-moldado</t>
  </si>
  <si>
    <t>Cangaíba - SP</t>
  </si>
  <si>
    <t>70/00372/21/02</t>
  </si>
  <si>
    <t>Jaraguá - SP</t>
  </si>
  <si>
    <t>69/00044/22/01</t>
  </si>
  <si>
    <t>FDE - Construção de Escola em Pré-moldado</t>
  </si>
  <si>
    <t>Piracicaba - SP</t>
  </si>
  <si>
    <t>Pavimentação Asfáltica</t>
  </si>
  <si>
    <t>Araçatuba - SP</t>
  </si>
  <si>
    <t xml:space="preserve">10/00005/23/01-013 </t>
  </si>
  <si>
    <t>FDE - Reforma e manutenção em 85 Escolas simultânes</t>
  </si>
  <si>
    <t>Adamantina/Tupã</t>
  </si>
  <si>
    <t>Monique verificar a questão da multa por atraso.</t>
  </si>
  <si>
    <t>Agnelo tem que cobrar por cada OS (23) os atestados.</t>
  </si>
  <si>
    <t>14942/2022</t>
  </si>
  <si>
    <t>ATA Registro de Preços  - Manutenção Proprios Publicos - Lote 1 e Lote 3</t>
  </si>
  <si>
    <t>Guarulhos - Guarda Municipal</t>
  </si>
  <si>
    <t>Guarulhos - Seccional</t>
  </si>
  <si>
    <t>Guarulhos - Sec. Planejamento</t>
  </si>
  <si>
    <t>Guarulhos - UBS Vila Galvão</t>
  </si>
  <si>
    <t>Janelas, instalação de dois guichês, pintura da unidade inteira. 15/07.</t>
  </si>
  <si>
    <t>Guarulhos - UPA Paulista</t>
  </si>
  <si>
    <t>Finaliza 21/08.</t>
  </si>
  <si>
    <t>Fundo Social</t>
  </si>
  <si>
    <t>OBRA - 300 SP - CARAGUATATUBA - REFORMAS (ATA)</t>
  </si>
  <si>
    <t>OBRA - 400 SP - ITAPIRA - REFORMAS (ATA)</t>
  </si>
  <si>
    <t>OBRA - 514 PENITENCIARIA DR LUIS G A - RIO CLARO</t>
  </si>
  <si>
    <t>OBRA - 515 EMEB WALDEMAR OLÍMPIO - ITAPIRA</t>
  </si>
  <si>
    <t>OBRA - 516 CONTRUCAO ESCOLA-2 CORREGOS</t>
  </si>
  <si>
    <t>OBRA - 517 CDP ITAPECERICA DA SERRA - SP</t>
  </si>
  <si>
    <t>OBRA - 518 CDP MAUA - SP</t>
  </si>
  <si>
    <t>OBRA - 519 CONST ESCOLA - SAO JOSE DOS CAMPOS</t>
  </si>
  <si>
    <t>OBRA - 520 CONST CENTRO MEDICO BARRETOS</t>
  </si>
  <si>
    <t>OBRA - 521 MARIA DE MELO-SAO JOSE CAMPOS</t>
  </si>
  <si>
    <t>OBRA - 522 BENEDITO GUERREIRO-2 CORREGOS</t>
  </si>
  <si>
    <t>OBRA - 523 PISTA DE CAMINHADA-MONTE AZUL</t>
  </si>
  <si>
    <t>OBRA - 524 QUADRA POLIESPORTIVA-MONTE AZUL</t>
  </si>
  <si>
    <t>OBRA - 525 REFORMA DAS PRACAS-MONTE AZUL</t>
  </si>
  <si>
    <t>OBRA - 526 CONST CRECHE ESCOLA - TORRINHA</t>
  </si>
  <si>
    <t>OBRA - 527 REFORMA ESCOLA SESI - FERRAZ</t>
  </si>
  <si>
    <t>OBRA - 528 REFORMA TEATRO SESI - SOROCABA</t>
  </si>
  <si>
    <t>OBRA - 529 REFORMA COBERTURA HCFMUSP - LAPA</t>
  </si>
  <si>
    <t>OBRA - 530 PENITENCIÁRIA ITIRAPINA II - JOÃO BATISTA</t>
  </si>
  <si>
    <t>OBRA - 531 SP OBRAS - EMEIF MIGUEL FRANCH</t>
  </si>
  <si>
    <t>OBRA - 532 COMPLEXO PCD S CAETADO DO SUL</t>
  </si>
  <si>
    <t>OBRA - 533 SBC CONSTRUCAO AME</t>
  </si>
  <si>
    <t>OBRA - 534 CONSTRUCAO DE ESCOLA ANDRADINA</t>
  </si>
  <si>
    <t>OBRA - 535 CONSTRUCAO DO CAPS SUMARE</t>
  </si>
  <si>
    <t>OBRA - 536 CONSTRUCAO UBS SANTA LUZIA</t>
  </si>
  <si>
    <t>OBRA - 537 GRU - CONSTRUCAO DA POLICLINIC</t>
  </si>
  <si>
    <t>OBRA - 538 SP - PARQUE LINEAR ITAPAIUNA</t>
  </si>
  <si>
    <t>OBRA - 540 CONSTRUCAO ESCOLA JD JASMIN ITAQUA</t>
  </si>
  <si>
    <t>OBRA - 600 PREF DIADEMA</t>
  </si>
  <si>
    <t>OBRA - 636 CRS. LESTE - REFORMAS</t>
  </si>
  <si>
    <t>OBRA - 701 FDE REFORMA ESCOLA - LORENA/SP</t>
  </si>
  <si>
    <t>OBRA - 702 FDE REFORMA ESCOLA - REGISTRO/SP</t>
  </si>
  <si>
    <t>OBRA - 703 FDE REFORMA ESCOLA - TEODORO SAMPAIO/SP</t>
  </si>
  <si>
    <t>OBRA - 704 FDE REFORMA COBERTURA - AMERICANA</t>
  </si>
  <si>
    <t>OBRA - 705 FDE REFORMA COBERTURA - ELIAS FAUSTO</t>
  </si>
  <si>
    <t>OBRA - 706 FDE REFORMA COBERTURA - HORTOLANDIA/SP</t>
  </si>
  <si>
    <t>OBRA - 707 FDE CONST. QUADRA - CANGAIBA/SP</t>
  </si>
  <si>
    <t>OBRA - 708 FDE CONST. QUADRA - ITAIM/SP</t>
  </si>
  <si>
    <t>OBRA - 709 FDE CONST. QUADRA - JARAGUA/SP</t>
  </si>
  <si>
    <t>OBRA - 710 FDE CONST. QUADRA - JARAGUA/SP</t>
  </si>
  <si>
    <t>OBRA - 711 CONST PREDIO ESCOLAR-PIRACICABA</t>
  </si>
  <si>
    <t>OBRA - 800 PAVIMENTACAO ASFALTICA ARAÇATUBA</t>
  </si>
  <si>
    <t>OBRA - 801 FDE - ATA ADAMANTINA E TUPA</t>
  </si>
  <si>
    <t>OBRA - 901 MANUTENCAO MUN DE GUARULHOS</t>
  </si>
  <si>
    <t>OBRA - 902 MANUTENCAO SECCIONAL GUARULHOS</t>
  </si>
  <si>
    <t>OBRA - 903 MANUTENCAO PLANEJ ORÇAMENT</t>
  </si>
  <si>
    <t>OBRA - 904 MANUTENCAO UBS VILA GALVAO</t>
  </si>
  <si>
    <t>OBRA - 905 MANUTENCAO UPA PAULISTA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</si>
</sst>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43" fontId="3" fillId="2" borderId="0" xfId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2" fillId="0" borderId="0" xfId="1" applyFont="1"/>
    <xf numFmtId="14" fontId="0" fillId="0" borderId="0" xfId="0" applyNumberFormat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2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43" fontId="2" fillId="3" borderId="0" xfId="1" applyFont="1" applyFill="1"/>
    <xf numFmtId="14" fontId="0" fillId="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9" fontId="0" fillId="0" borderId="0" xfId="2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3" fontId="2" fillId="0" borderId="0" xfId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9" fontId="4" fillId="0" borderId="0" xfId="2" applyFont="1" applyAlignment="1">
      <alignment horizontal="center"/>
    </xf>
    <xf numFmtId="164" fontId="4" fillId="0" borderId="0" xfId="1" applyNumberFormat="1" applyFont="1" applyAlignment="1">
      <alignment horizontal="center"/>
    </xf>
    <xf numFmtId="43" fontId="5" fillId="0" borderId="0" xfId="1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Fill="1" applyAlignment="1">
      <alignment horizontal="center"/>
    </xf>
    <xf numFmtId="43" fontId="0" fillId="0" borderId="0" xfId="1" applyFont="1"/>
  </cellXfs>
  <cellStyles count="3">
    <cellStyle name="Normal" xfId="0" builtinId="0"/>
    <cellStyle name="Porcentagem" xfId="2" builtinId="5"/>
    <cellStyle name="Vírgula" xfId="1" builtinId="3"/>
  </cellStyles>
  <dxfs count="18"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numFmt numFmtId="164" formatCode="_-* #,##0_-;\-* #,##0_-;_-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9" formatCode="dd/mm/yyyy"/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1%20-%20GERENCIAL\02.%20DRE\2025\01.%20Excel%20-%20DRE%20Real%20x%20Realizado\03.%20Engenharia\DRE%20ENGENHARIA%20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D_Custo"/>
      <sheetName val="CONSOLIDADO"/>
      <sheetName val="ANALISE TOP20"/>
      <sheetName val="DETALHAMENTO"/>
      <sheetName val="Resumo Obra"/>
      <sheetName val="ANALISE FORNEC"/>
      <sheetName val="GAP FLUXO CAIXA"/>
      <sheetName val="JUSTIFICATIVAS CTT"/>
      <sheetName val="BD_Planer"/>
      <sheetName val="300"/>
      <sheetName val="515"/>
      <sheetName val="516"/>
      <sheetName val="517"/>
      <sheetName val="518"/>
      <sheetName val="519"/>
      <sheetName val="520"/>
      <sheetName val="521"/>
      <sheetName val="522"/>
      <sheetName val="523"/>
      <sheetName val="524"/>
      <sheetName val="525"/>
      <sheetName val="526"/>
      <sheetName val="527"/>
      <sheetName val="529"/>
      <sheetName val="531"/>
      <sheetName val="532"/>
      <sheetName val="533"/>
      <sheetName val="534"/>
      <sheetName val="535"/>
      <sheetName val="536"/>
      <sheetName val="537"/>
      <sheetName val="538"/>
      <sheetName val="540"/>
      <sheetName val="636"/>
      <sheetName val="711"/>
      <sheetName val="800"/>
      <sheetName val="Real x Orç ANUAL"/>
      <sheetName val="Real x Orç MENSAL"/>
      <sheetName val="BD_Comercial"/>
      <sheetName val="BD_Orç2025"/>
      <sheetName val="801"/>
      <sheetName val="901"/>
      <sheetName val="902"/>
      <sheetName val="903"/>
      <sheetName val="904"/>
      <sheetName val="905"/>
      <sheetName val="ANALISE TOP20 OBRA"/>
      <sheetName val="Real x Orç ANUAL (2)"/>
      <sheetName val="DETALHAMENTO (2)"/>
      <sheetName val="ANALISE FORNEC (2)"/>
      <sheetName val="BD_Faturamento"/>
      <sheetName val="Apoio"/>
      <sheetName val="Filia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C6234-347B-4A7E-9393-7FEADF39E06F}" name="Tabela7" displayName="Tabela7" ref="A1:U50" totalsRowShown="0" headerRowDxfId="17" dataDxfId="16">
  <autoFilter ref="A1:U50" xr:uid="{3EBD0B7F-383A-4076-9872-A91DEEAE6FC9}"/>
  <tableColumns count="21">
    <tableColumn id="1" xr3:uid="{823DDC9D-7258-4216-944D-D0987FEB75F4}" name="N° Obra" dataDxfId="15"/>
    <tableColumn id="3" xr3:uid="{669B3753-E95E-4C21-AF93-841EA7D618BE}" name="N° Contrato"/>
    <tableColumn id="23" xr3:uid="{A0C07D8B-A169-4F37-906C-10A8B80AD3F3}" name="Status" dataDxfId="14"/>
    <tableColumn id="24" xr3:uid="{2A7EFC39-EA17-47F4-9C1F-7889F4459DEE}" name="NM Contrato" dataDxfId="0">
      <calculatedColumnFormula>VLOOKUP(Tabela7[[#This Row],[N° Obra]],[1]!ApoioCtt[[DEPRA Filial]:[CONTRATO]],6,0)</calculatedColumnFormula>
    </tableColumn>
    <tableColumn id="4" xr3:uid="{E1751559-860D-4D05-A8B9-A0327AC2E44C}" name="Escopo"/>
    <tableColumn id="5" xr3:uid="{2B06B4F6-D854-47B6-AC0A-25943278BC30}" name="Cidade"/>
    <tableColumn id="6" xr3:uid="{AB9AF126-B656-4849-89BB-11300B5BB7BE}" name="Desconto Licitação" dataDxfId="13" dataCellStyle="Porcentagem"/>
    <tableColumn id="7" xr3:uid="{D3C34F96-D0B7-4651-BFC1-8A7AA76ECF5D}" name="Valor Inicial" dataDxfId="12" dataCellStyle="Vírgula"/>
    <tableColumn id="8" xr3:uid="{D1C7B4E9-7977-4857-AD76-D723575A53CF}" name="Aditivo" dataDxfId="11" dataCellStyle="Vírgula"/>
    <tableColumn id="9" xr3:uid="{B8A58FFB-5EB8-4752-9FB2-B68EF338CB0B}" name="Supressão" dataDxfId="10" dataCellStyle="Vírgula"/>
    <tableColumn id="10" xr3:uid="{475EE12B-E3A1-40AE-894E-FAC7FA61E25A}" name="% Acréscimo" dataDxfId="9" dataCellStyle="Porcentagem"/>
    <tableColumn id="11" xr3:uid="{689DFE02-CA49-48B8-B005-7CFCDF1106A4}" name="Valor Final Contratual" dataDxfId="8" dataCellStyle="Vírgula"/>
    <tableColumn id="2" xr3:uid="{48998258-2E66-481B-87CB-F750B34FE54F}" name="Custo Previsto" dataDxfId="7" dataCellStyle="Vírgula"/>
    <tableColumn id="12" xr3:uid="{59C1D7B8-EF27-4B84-8BA7-C1C1D82FDE78}" name="Início Contrato" dataDxfId="6"/>
    <tableColumn id="13" xr3:uid="{EFBD43F3-37EA-4230-B2A3-F0747ED76449}" name="Fim Contrato" dataDxfId="5"/>
    <tableColumn id="14" xr3:uid="{6D894145-DF99-4DA8-9964-F9AA9EB563C1}" name="Vigência Atual" dataDxfId="4"/>
    <tableColumn id="15" xr3:uid="{207A593D-FE30-4EDF-BE53-7D12564DF310}" name="TRP" dataDxfId="3"/>
    <tableColumn id="16" xr3:uid="{BB21F6D8-6D0A-4EA6-AE85-47021B5337BD}" name="TRD" dataDxfId="2"/>
    <tableColumn id="17" xr3:uid="{9E6D8169-11BF-4F57-860F-D94AC4E9FD27}" name="Atestado de Capacidade" dataDxfId="1"/>
    <tableColumn id="18" xr3:uid="{4365AF34-212F-4D40-828F-7DDFA1546561}" name="Observações"/>
    <tableColumn id="19" xr3:uid="{D0D99F4C-FE4E-47F4-BE78-15279495CAC3}" name="Prazo Finalização Process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9E49-4FC1-492B-B809-D785C7E0321A}">
  <sheetPr>
    <tabColor rgb="FF666666"/>
  </sheetPr>
  <dimension ref="A1:U50"/>
  <sheetViews>
    <sheetView showGridLines="0" tabSelected="1" zoomScale="80" zoomScaleNormal="80" workbookViewId="0">
      <pane ySplit="1" topLeftCell="A11" activePane="bottomLeft" state="frozen"/>
      <selection activeCell="H22" sqref="H22"/>
      <selection pane="bottomLeft" activeCell="M33" sqref="M33"/>
    </sheetView>
  </sheetViews>
  <sheetFormatPr defaultRowHeight="14.4" x14ac:dyDescent="0.3"/>
  <cols>
    <col min="1" max="1" width="12" style="6" bestFit="1" customWidth="1"/>
    <col min="2" max="7" width="9.77734375" customWidth="1"/>
    <col min="8" max="8" width="13.109375" style="34" customWidth="1"/>
    <col min="9" max="9" width="14" style="34" bestFit="1" customWidth="1"/>
    <col min="10" max="10" width="15.33203125" style="34" bestFit="1" customWidth="1"/>
    <col min="11" max="11" width="9.77734375" customWidth="1"/>
    <col min="12" max="12" width="16.109375" style="34" bestFit="1" customWidth="1"/>
    <col min="13" max="13" width="16.109375" style="34" customWidth="1"/>
    <col min="14" max="15" width="10.88671875" style="11" customWidth="1"/>
    <col min="16" max="16" width="12" style="11" customWidth="1"/>
    <col min="17" max="18" width="10.5546875" style="11" bestFit="1" customWidth="1"/>
    <col min="19" max="19" width="12.6640625" style="11" customWidth="1"/>
    <col min="20" max="21" width="35.77734375" customWidth="1"/>
  </cols>
  <sheetData>
    <row r="1" spans="1:21" s="5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</row>
    <row r="2" spans="1:21" x14ac:dyDescent="0.3">
      <c r="A2" s="6">
        <v>300</v>
      </c>
      <c r="B2" t="s">
        <v>21</v>
      </c>
      <c r="C2" s="7" t="s">
        <v>22</v>
      </c>
      <c r="D2" s="7" t="s">
        <v>163</v>
      </c>
      <c r="E2" t="s">
        <v>23</v>
      </c>
      <c r="F2" t="s">
        <v>24</v>
      </c>
      <c r="G2" s="8">
        <v>-0.22009999999999999</v>
      </c>
      <c r="H2" s="9">
        <v>53039999.990000002</v>
      </c>
      <c r="I2" s="9">
        <v>0</v>
      </c>
      <c r="J2" s="9">
        <v>0</v>
      </c>
      <c r="K2" s="8">
        <v>0</v>
      </c>
      <c r="L2" s="10">
        <v>53039999.990000002</v>
      </c>
      <c r="M2" s="10">
        <v>51780689.381758422</v>
      </c>
      <c r="N2" s="11">
        <v>45912</v>
      </c>
      <c r="O2" s="11">
        <v>46277</v>
      </c>
      <c r="P2" s="11">
        <v>46277</v>
      </c>
      <c r="Q2" s="12" t="s">
        <v>25</v>
      </c>
      <c r="R2" s="12" t="s">
        <v>25</v>
      </c>
      <c r="S2" s="12" t="s">
        <v>25</v>
      </c>
      <c r="T2" t="s">
        <v>26</v>
      </c>
    </row>
    <row r="3" spans="1:21" x14ac:dyDescent="0.3">
      <c r="A3" s="13">
        <v>400</v>
      </c>
      <c r="B3" s="14"/>
      <c r="C3" s="15" t="s">
        <v>22</v>
      </c>
      <c r="D3" s="15" t="s">
        <v>164</v>
      </c>
      <c r="E3" s="14"/>
      <c r="F3" s="14" t="s">
        <v>27</v>
      </c>
      <c r="G3" s="16"/>
      <c r="H3" s="17"/>
      <c r="I3" s="17"/>
      <c r="J3" s="17"/>
      <c r="K3" s="16"/>
      <c r="L3" s="18"/>
      <c r="M3" s="18"/>
      <c r="N3" s="19"/>
      <c r="O3" s="19"/>
      <c r="P3" s="19"/>
      <c r="Q3" s="19" t="s">
        <v>25</v>
      </c>
      <c r="R3" s="19" t="s">
        <v>25</v>
      </c>
      <c r="S3" s="19" t="s">
        <v>25</v>
      </c>
      <c r="T3" s="14" t="s">
        <v>28</v>
      </c>
      <c r="U3" s="14"/>
    </row>
    <row r="4" spans="1:21" x14ac:dyDescent="0.3">
      <c r="A4" s="20">
        <v>514</v>
      </c>
      <c r="B4" s="21" t="s">
        <v>29</v>
      </c>
      <c r="C4" s="22" t="s">
        <v>30</v>
      </c>
      <c r="D4" s="22" t="s">
        <v>165</v>
      </c>
      <c r="E4" s="21" t="s">
        <v>31</v>
      </c>
      <c r="F4" s="21" t="s">
        <v>32</v>
      </c>
      <c r="G4" s="23">
        <v>-0.29034201876558685</v>
      </c>
      <c r="H4" s="24">
        <v>3079745.2</v>
      </c>
      <c r="I4" s="24">
        <v>450581.45</v>
      </c>
      <c r="J4" s="24">
        <v>-392964.31</v>
      </c>
      <c r="K4" s="23">
        <v>0.14630478196702765</v>
      </c>
      <c r="L4" s="25">
        <v>3137362.3400000003</v>
      </c>
      <c r="M4" s="25"/>
      <c r="N4" s="12">
        <v>44466</v>
      </c>
      <c r="O4" s="12">
        <v>44915</v>
      </c>
      <c r="P4" s="12">
        <v>45025</v>
      </c>
      <c r="Q4" s="12">
        <v>44953</v>
      </c>
      <c r="R4" s="12">
        <v>45022</v>
      </c>
      <c r="S4" s="12" t="s">
        <v>33</v>
      </c>
      <c r="T4" s="21"/>
      <c r="U4" s="21"/>
    </row>
    <row r="5" spans="1:21" x14ac:dyDescent="0.3">
      <c r="A5" s="20">
        <v>515</v>
      </c>
      <c r="B5" s="21" t="s">
        <v>34</v>
      </c>
      <c r="C5" s="22" t="s">
        <v>35</v>
      </c>
      <c r="D5" s="22" t="s">
        <v>166</v>
      </c>
      <c r="E5" s="21" t="s">
        <v>36</v>
      </c>
      <c r="F5" s="21" t="s">
        <v>27</v>
      </c>
      <c r="G5" s="23">
        <v>-0.27059261744681251</v>
      </c>
      <c r="H5" s="24">
        <v>7382703.7300000004</v>
      </c>
      <c r="I5" s="24">
        <v>0</v>
      </c>
      <c r="J5" s="24">
        <v>0</v>
      </c>
      <c r="K5" s="23">
        <v>0</v>
      </c>
      <c r="L5" s="25">
        <v>7382703.7300000004</v>
      </c>
      <c r="M5" s="25"/>
      <c r="N5" s="12">
        <v>44508</v>
      </c>
      <c r="O5" s="12">
        <v>45340</v>
      </c>
      <c r="P5" s="12">
        <v>45340</v>
      </c>
      <c r="Q5" s="12">
        <v>45419</v>
      </c>
      <c r="R5" s="12">
        <v>45449</v>
      </c>
      <c r="S5" s="12" t="s">
        <v>33</v>
      </c>
      <c r="T5" s="21"/>
      <c r="U5" s="21" t="s">
        <v>37</v>
      </c>
    </row>
    <row r="6" spans="1:21" x14ac:dyDescent="0.3">
      <c r="A6" s="20">
        <v>516</v>
      </c>
      <c r="B6" s="21" t="s">
        <v>38</v>
      </c>
      <c r="C6" s="22" t="s">
        <v>35</v>
      </c>
      <c r="D6" s="22" t="s">
        <v>167</v>
      </c>
      <c r="E6" s="21" t="s">
        <v>39</v>
      </c>
      <c r="F6" s="21" t="s">
        <v>40</v>
      </c>
      <c r="G6" s="23">
        <v>-0.21300540037064308</v>
      </c>
      <c r="H6" s="24">
        <v>4641254.62</v>
      </c>
      <c r="I6" s="24">
        <v>1135774.8400000001</v>
      </c>
      <c r="J6" s="24">
        <v>-140467.78</v>
      </c>
      <c r="K6" s="23">
        <v>0.24471289187749842</v>
      </c>
      <c r="L6" s="25">
        <v>5636561.6799999997</v>
      </c>
      <c r="M6" s="25"/>
      <c r="N6" s="12">
        <v>44564</v>
      </c>
      <c r="O6" s="12">
        <v>45838</v>
      </c>
      <c r="P6" s="12">
        <v>45854</v>
      </c>
      <c r="Q6" s="12">
        <v>46056</v>
      </c>
      <c r="R6" s="12" t="s">
        <v>25</v>
      </c>
      <c r="S6" s="12" t="s">
        <v>25</v>
      </c>
      <c r="T6" s="21" t="s">
        <v>41</v>
      </c>
      <c r="U6" s="21" t="s">
        <v>42</v>
      </c>
    </row>
    <row r="7" spans="1:21" x14ac:dyDescent="0.3">
      <c r="A7" s="20">
        <v>517</v>
      </c>
      <c r="B7" s="21" t="s">
        <v>43</v>
      </c>
      <c r="C7" s="22" t="s">
        <v>35</v>
      </c>
      <c r="D7" s="22" t="s">
        <v>168</v>
      </c>
      <c r="E7" s="21" t="s">
        <v>44</v>
      </c>
      <c r="F7" s="21" t="s">
        <v>45</v>
      </c>
      <c r="G7" s="23">
        <v>-0.24469750541930824</v>
      </c>
      <c r="H7" s="24">
        <v>3980359.9</v>
      </c>
      <c r="I7" s="24">
        <v>913910.72</v>
      </c>
      <c r="J7" s="24">
        <v>-529874.82999999996</v>
      </c>
      <c r="K7" s="23">
        <v>0.22960504651853214</v>
      </c>
      <c r="L7" s="25">
        <v>4364395.79</v>
      </c>
      <c r="M7" s="25"/>
      <c r="N7" s="12">
        <v>44593</v>
      </c>
      <c r="O7" s="12">
        <v>45788</v>
      </c>
      <c r="P7" s="12">
        <v>45788</v>
      </c>
      <c r="Q7" s="12">
        <v>45461</v>
      </c>
      <c r="R7" s="12" t="s">
        <v>25</v>
      </c>
      <c r="S7" s="12" t="s">
        <v>25</v>
      </c>
      <c r="T7" s="21" t="s">
        <v>46</v>
      </c>
      <c r="U7" s="21"/>
    </row>
    <row r="8" spans="1:21" x14ac:dyDescent="0.3">
      <c r="A8" s="20">
        <v>518</v>
      </c>
      <c r="B8" s="21" t="s">
        <v>47</v>
      </c>
      <c r="C8" s="22" t="s">
        <v>30</v>
      </c>
      <c r="D8" s="22" t="s">
        <v>169</v>
      </c>
      <c r="E8" s="21" t="s">
        <v>44</v>
      </c>
      <c r="F8" s="21" t="s">
        <v>48</v>
      </c>
      <c r="G8" s="23">
        <v>-0.27187136162051517</v>
      </c>
      <c r="H8" s="24">
        <v>4393525.59</v>
      </c>
      <c r="I8" s="24">
        <v>849809.42</v>
      </c>
      <c r="J8" s="24">
        <v>-514904.18</v>
      </c>
      <c r="K8" s="23">
        <v>0.19342311831168829</v>
      </c>
      <c r="L8" s="25">
        <v>4728430.83</v>
      </c>
      <c r="M8" s="25"/>
      <c r="N8" s="12">
        <v>44593</v>
      </c>
      <c r="O8" s="12">
        <v>45335</v>
      </c>
      <c r="P8" s="12">
        <v>45425</v>
      </c>
      <c r="Q8" s="12">
        <v>45229</v>
      </c>
      <c r="R8" s="12">
        <v>45331</v>
      </c>
      <c r="S8" s="12" t="s">
        <v>33</v>
      </c>
      <c r="T8" s="21"/>
      <c r="U8" s="21"/>
    </row>
    <row r="9" spans="1:21" s="14" customFormat="1" x14ac:dyDescent="0.3">
      <c r="A9" s="20">
        <v>519</v>
      </c>
      <c r="B9" s="21" t="s">
        <v>49</v>
      </c>
      <c r="C9" s="22" t="s">
        <v>35</v>
      </c>
      <c r="D9" s="22" t="s">
        <v>170</v>
      </c>
      <c r="E9" s="21" t="s">
        <v>39</v>
      </c>
      <c r="F9" s="21" t="s">
        <v>50</v>
      </c>
      <c r="G9" s="23">
        <v>-0.29780618262849556</v>
      </c>
      <c r="H9" s="24">
        <v>5707362.0199999996</v>
      </c>
      <c r="I9" s="24">
        <v>1426996.78</v>
      </c>
      <c r="J9" s="24">
        <v>-241450.3</v>
      </c>
      <c r="K9" s="23">
        <v>0.25002738130145813</v>
      </c>
      <c r="L9" s="25">
        <v>6892908.5</v>
      </c>
      <c r="M9" s="25"/>
      <c r="N9" s="12">
        <v>44669</v>
      </c>
      <c r="O9" s="12">
        <v>45369</v>
      </c>
      <c r="P9" s="12">
        <v>45369</v>
      </c>
      <c r="Q9" s="12">
        <v>45623</v>
      </c>
      <c r="R9" s="12" t="s">
        <v>25</v>
      </c>
      <c r="S9" s="12" t="s">
        <v>33</v>
      </c>
      <c r="T9" s="21" t="s">
        <v>51</v>
      </c>
      <c r="U9" s="21"/>
    </row>
    <row r="10" spans="1:21" s="14" customFormat="1" x14ac:dyDescent="0.3">
      <c r="A10" s="20">
        <v>520</v>
      </c>
      <c r="B10" s="21" t="s">
        <v>52</v>
      </c>
      <c r="C10" s="22" t="s">
        <v>35</v>
      </c>
      <c r="D10" s="22" t="s">
        <v>171</v>
      </c>
      <c r="E10" s="21" t="s">
        <v>53</v>
      </c>
      <c r="F10" s="21" t="s">
        <v>54</v>
      </c>
      <c r="G10" s="23">
        <v>-0.21955357754530791</v>
      </c>
      <c r="H10" s="24">
        <v>6726033.2199999997</v>
      </c>
      <c r="I10" s="24">
        <v>2739864.4200000004</v>
      </c>
      <c r="J10" s="24">
        <v>-138622.74</v>
      </c>
      <c r="K10" s="23">
        <v>0.24618717836186962</v>
      </c>
      <c r="L10" s="25">
        <v>9327274.9000000004</v>
      </c>
      <c r="M10" s="25"/>
      <c r="N10" s="12">
        <v>44691</v>
      </c>
      <c r="O10" s="12">
        <v>45814</v>
      </c>
      <c r="P10" s="12">
        <v>45814</v>
      </c>
      <c r="Q10" s="12" t="s">
        <v>25</v>
      </c>
      <c r="R10" s="12" t="s">
        <v>25</v>
      </c>
      <c r="S10" s="12" t="s">
        <v>25</v>
      </c>
      <c r="T10" s="21" t="s">
        <v>55</v>
      </c>
      <c r="U10" s="21" t="s">
        <v>56</v>
      </c>
    </row>
    <row r="11" spans="1:21" x14ac:dyDescent="0.3">
      <c r="A11" s="6">
        <v>521</v>
      </c>
      <c r="B11" t="s">
        <v>57</v>
      </c>
      <c r="C11" s="7" t="s">
        <v>22</v>
      </c>
      <c r="D11" s="7" t="s">
        <v>172</v>
      </c>
      <c r="E11" t="s">
        <v>58</v>
      </c>
      <c r="F11" t="s">
        <v>50</v>
      </c>
      <c r="G11" s="8">
        <v>-0.27293670827239158</v>
      </c>
      <c r="H11" s="9">
        <v>10735335.41</v>
      </c>
      <c r="I11" s="9">
        <v>3533965.57</v>
      </c>
      <c r="J11" s="9">
        <v>-2326963.29</v>
      </c>
      <c r="K11" s="8">
        <v>0.329190047169658</v>
      </c>
      <c r="L11" s="10">
        <v>11942337.690000001</v>
      </c>
      <c r="M11" s="10"/>
      <c r="N11" s="11">
        <v>44733</v>
      </c>
      <c r="O11" s="11">
        <v>46377</v>
      </c>
      <c r="P11" s="11">
        <v>46377</v>
      </c>
      <c r="Q11" s="12" t="s">
        <v>25</v>
      </c>
      <c r="R11" s="12" t="s">
        <v>25</v>
      </c>
      <c r="S11" s="12" t="s">
        <v>25</v>
      </c>
      <c r="T11" t="s">
        <v>59</v>
      </c>
      <c r="U11" t="s">
        <v>60</v>
      </c>
    </row>
    <row r="12" spans="1:21" x14ac:dyDescent="0.3">
      <c r="A12" s="20">
        <v>522</v>
      </c>
      <c r="B12" s="21" t="s">
        <v>61</v>
      </c>
      <c r="C12" s="22" t="s">
        <v>35</v>
      </c>
      <c r="D12" s="22" t="s">
        <v>173</v>
      </c>
      <c r="E12" s="21" t="s">
        <v>58</v>
      </c>
      <c r="F12" s="21" t="s">
        <v>40</v>
      </c>
      <c r="G12" s="23">
        <v>-9.1024268319554902E-2</v>
      </c>
      <c r="H12" s="24">
        <v>2754847.13</v>
      </c>
      <c r="I12" s="24">
        <v>0</v>
      </c>
      <c r="J12" s="24">
        <v>0</v>
      </c>
      <c r="K12" s="23">
        <v>0</v>
      </c>
      <c r="L12" s="25">
        <v>2985880.3899999997</v>
      </c>
      <c r="M12" s="25"/>
      <c r="N12" s="12">
        <v>44736</v>
      </c>
      <c r="O12" s="12">
        <v>45559</v>
      </c>
      <c r="P12" s="12">
        <v>45823</v>
      </c>
      <c r="Q12" s="12">
        <v>45854</v>
      </c>
      <c r="R12" s="12" t="s">
        <v>25</v>
      </c>
      <c r="S12" s="12" t="s">
        <v>25</v>
      </c>
      <c r="T12" s="21" t="s">
        <v>62</v>
      </c>
      <c r="U12" s="21" t="s">
        <v>63</v>
      </c>
    </row>
    <row r="13" spans="1:21" x14ac:dyDescent="0.3">
      <c r="A13" s="20">
        <v>523</v>
      </c>
      <c r="B13" s="21" t="s">
        <v>64</v>
      </c>
      <c r="C13" s="22" t="s">
        <v>30</v>
      </c>
      <c r="D13" s="22" t="s">
        <v>174</v>
      </c>
      <c r="E13" s="21" t="s">
        <v>65</v>
      </c>
      <c r="F13" s="21" t="s">
        <v>66</v>
      </c>
      <c r="G13" s="23">
        <v>-1.8423328281280682E-5</v>
      </c>
      <c r="H13" s="24">
        <v>974290.26</v>
      </c>
      <c r="I13" s="24">
        <v>0</v>
      </c>
      <c r="J13" s="24">
        <v>0</v>
      </c>
      <c r="K13" s="23">
        <v>0</v>
      </c>
      <c r="L13" s="25">
        <v>974290.26</v>
      </c>
      <c r="M13" s="25"/>
      <c r="N13" s="12">
        <v>44742</v>
      </c>
      <c r="O13" s="12">
        <v>45346</v>
      </c>
      <c r="P13" s="12">
        <v>45346</v>
      </c>
      <c r="Q13" s="12">
        <v>45888</v>
      </c>
      <c r="R13" s="12">
        <v>45884</v>
      </c>
      <c r="S13" s="12" t="s">
        <v>33</v>
      </c>
      <c r="T13" s="21"/>
      <c r="U13" s="21"/>
    </row>
    <row r="14" spans="1:21" x14ac:dyDescent="0.3">
      <c r="A14" s="6">
        <v>524</v>
      </c>
      <c r="B14" t="s">
        <v>67</v>
      </c>
      <c r="C14" s="7" t="s">
        <v>30</v>
      </c>
      <c r="D14" s="7" t="s">
        <v>175</v>
      </c>
      <c r="E14" t="s">
        <v>68</v>
      </c>
      <c r="F14" t="s">
        <v>66</v>
      </c>
      <c r="G14" s="8">
        <v>-3.9936881246482869E-8</v>
      </c>
      <c r="H14" s="9">
        <v>500790.21</v>
      </c>
      <c r="I14" s="9">
        <v>0</v>
      </c>
      <c r="J14" s="9">
        <v>0</v>
      </c>
      <c r="K14" s="8">
        <v>0</v>
      </c>
      <c r="L14" s="10">
        <v>500790.21</v>
      </c>
      <c r="M14" s="10"/>
      <c r="N14" s="11">
        <v>44980</v>
      </c>
      <c r="O14" s="11">
        <v>45608</v>
      </c>
      <c r="P14" s="11">
        <v>45608</v>
      </c>
      <c r="Q14" s="11">
        <v>45888</v>
      </c>
      <c r="R14" s="11">
        <v>45884</v>
      </c>
      <c r="S14" s="11" t="s">
        <v>33</v>
      </c>
    </row>
    <row r="15" spans="1:21" s="21" customFormat="1" x14ac:dyDescent="0.3">
      <c r="A15" s="6">
        <v>525</v>
      </c>
      <c r="B15" t="s">
        <v>69</v>
      </c>
      <c r="C15" s="7" t="s">
        <v>30</v>
      </c>
      <c r="D15" s="7" t="s">
        <v>176</v>
      </c>
      <c r="E15" t="s">
        <v>70</v>
      </c>
      <c r="F15" t="s">
        <v>66</v>
      </c>
      <c r="G15" s="8">
        <v>-7.5060403947501464E-2</v>
      </c>
      <c r="H15" s="9">
        <v>292948.58</v>
      </c>
      <c r="I15" s="9">
        <v>0</v>
      </c>
      <c r="J15" s="9">
        <v>0</v>
      </c>
      <c r="K15" s="8">
        <v>0</v>
      </c>
      <c r="L15" s="10">
        <v>292948.58</v>
      </c>
      <c r="M15" s="10"/>
      <c r="N15" s="11">
        <v>44914</v>
      </c>
      <c r="O15" s="11">
        <v>45516</v>
      </c>
      <c r="P15" s="11">
        <v>45516</v>
      </c>
      <c r="Q15" s="11">
        <v>45888</v>
      </c>
      <c r="R15" s="11">
        <v>45884</v>
      </c>
      <c r="S15" s="11" t="s">
        <v>33</v>
      </c>
      <c r="T15"/>
      <c r="U15"/>
    </row>
    <row r="16" spans="1:21" s="21" customFormat="1" x14ac:dyDescent="0.3">
      <c r="A16" s="6">
        <v>526</v>
      </c>
      <c r="B16" t="s">
        <v>71</v>
      </c>
      <c r="C16" s="7" t="s">
        <v>30</v>
      </c>
      <c r="D16" s="7" t="s">
        <v>177</v>
      </c>
      <c r="E16" t="s">
        <v>39</v>
      </c>
      <c r="F16" t="s">
        <v>72</v>
      </c>
      <c r="G16" s="8">
        <v>-0.13362092127317848</v>
      </c>
      <c r="H16" s="9">
        <v>3647843.86</v>
      </c>
      <c r="I16" s="9">
        <v>0</v>
      </c>
      <c r="J16" s="9">
        <v>0</v>
      </c>
      <c r="K16" s="8">
        <v>0</v>
      </c>
      <c r="L16" s="10">
        <v>3647843.86</v>
      </c>
      <c r="M16" s="10"/>
      <c r="N16" s="11">
        <v>44936</v>
      </c>
      <c r="O16" s="11">
        <v>45837</v>
      </c>
      <c r="P16" s="11">
        <v>45837</v>
      </c>
      <c r="Q16" s="11">
        <v>45653</v>
      </c>
      <c r="R16" s="11">
        <v>46175</v>
      </c>
      <c r="S16" s="11" t="s">
        <v>33</v>
      </c>
      <c r="T16"/>
      <c r="U16"/>
    </row>
    <row r="17" spans="1:21" s="21" customFormat="1" x14ac:dyDescent="0.3">
      <c r="A17" s="6">
        <v>527</v>
      </c>
      <c r="B17" t="s">
        <v>73</v>
      </c>
      <c r="C17" s="7" t="s">
        <v>30</v>
      </c>
      <c r="D17" s="7" t="s">
        <v>178</v>
      </c>
      <c r="E17" t="s">
        <v>74</v>
      </c>
      <c r="F17" t="s">
        <v>75</v>
      </c>
      <c r="G17" s="8">
        <v>-0.10077643183579843</v>
      </c>
      <c r="H17" s="9">
        <v>3635422.01</v>
      </c>
      <c r="I17" s="9">
        <v>132425.82</v>
      </c>
      <c r="J17" s="9">
        <v>-872235.18</v>
      </c>
      <c r="K17" s="8">
        <v>3.6426533050560483E-2</v>
      </c>
      <c r="L17" s="10">
        <v>2895612.6499999994</v>
      </c>
      <c r="M17" s="10"/>
      <c r="N17" s="11">
        <v>44929</v>
      </c>
      <c r="O17" s="11">
        <v>45322</v>
      </c>
      <c r="P17" s="11">
        <v>45502</v>
      </c>
      <c r="Q17" s="11">
        <v>45349</v>
      </c>
      <c r="R17" s="11">
        <v>45423</v>
      </c>
      <c r="S17" s="11" t="s">
        <v>33</v>
      </c>
      <c r="T17"/>
      <c r="U17"/>
    </row>
    <row r="18" spans="1:21" s="21" customFormat="1" x14ac:dyDescent="0.3">
      <c r="A18" s="6">
        <v>528</v>
      </c>
      <c r="B18" t="s">
        <v>76</v>
      </c>
      <c r="C18" s="7" t="s">
        <v>30</v>
      </c>
      <c r="D18" s="7" t="s">
        <v>179</v>
      </c>
      <c r="E18" t="s">
        <v>77</v>
      </c>
      <c r="F18" t="s">
        <v>78</v>
      </c>
      <c r="G18" s="8">
        <v>-9.0859326161454979E-2</v>
      </c>
      <c r="H18" s="9">
        <v>2761889.09</v>
      </c>
      <c r="I18" s="9">
        <v>0</v>
      </c>
      <c r="J18" s="9">
        <v>0</v>
      </c>
      <c r="K18" s="8">
        <v>0</v>
      </c>
      <c r="L18" s="10">
        <v>2761889.09</v>
      </c>
      <c r="M18" s="10"/>
      <c r="N18" s="11">
        <v>44753</v>
      </c>
      <c r="O18" s="11">
        <v>45053</v>
      </c>
      <c r="P18" s="11">
        <v>45233</v>
      </c>
      <c r="Q18" s="11">
        <v>45058</v>
      </c>
      <c r="R18" s="11">
        <v>45120</v>
      </c>
      <c r="S18" s="11" t="s">
        <v>33</v>
      </c>
      <c r="T18"/>
      <c r="U18"/>
    </row>
    <row r="19" spans="1:21" s="21" customFormat="1" x14ac:dyDescent="0.3">
      <c r="A19" s="6">
        <v>529</v>
      </c>
      <c r="B19" t="s">
        <v>79</v>
      </c>
      <c r="C19" s="7" t="s">
        <v>30</v>
      </c>
      <c r="D19" s="7" t="s">
        <v>180</v>
      </c>
      <c r="E19" t="s">
        <v>80</v>
      </c>
      <c r="F19" t="s">
        <v>81</v>
      </c>
      <c r="G19" s="8">
        <v>-0.13287942880841075</v>
      </c>
      <c r="H19" s="9">
        <v>10326007.189999999</v>
      </c>
      <c r="I19" s="9">
        <v>0</v>
      </c>
      <c r="J19" s="9">
        <v>0</v>
      </c>
      <c r="K19" s="8">
        <v>0</v>
      </c>
      <c r="L19" s="10">
        <v>10326007.189999999</v>
      </c>
      <c r="M19" s="10"/>
      <c r="N19" s="11">
        <v>44958</v>
      </c>
      <c r="O19" s="11">
        <v>45506</v>
      </c>
      <c r="P19" s="11">
        <v>45658</v>
      </c>
      <c r="Q19" s="11">
        <v>45532</v>
      </c>
      <c r="R19" s="11">
        <v>45624</v>
      </c>
      <c r="S19" s="11" t="s">
        <v>33</v>
      </c>
      <c r="T19"/>
      <c r="U19"/>
    </row>
    <row r="20" spans="1:21" s="21" customFormat="1" x14ac:dyDescent="0.3">
      <c r="A20" s="6">
        <v>530</v>
      </c>
      <c r="B20" t="s">
        <v>82</v>
      </c>
      <c r="C20" s="7" t="s">
        <v>30</v>
      </c>
      <c r="D20" s="7" t="s">
        <v>181</v>
      </c>
      <c r="E20" t="s">
        <v>83</v>
      </c>
      <c r="F20" t="s">
        <v>84</v>
      </c>
      <c r="G20" s="8">
        <v>-0.22002929335527233</v>
      </c>
      <c r="H20" s="9">
        <v>437702.76</v>
      </c>
      <c r="I20" s="9">
        <v>0</v>
      </c>
      <c r="J20" s="9">
        <v>0</v>
      </c>
      <c r="K20" s="8">
        <v>0</v>
      </c>
      <c r="L20" s="10">
        <v>437702.76</v>
      </c>
      <c r="M20" s="10"/>
      <c r="N20" s="11">
        <v>45026</v>
      </c>
      <c r="O20" s="11">
        <v>45251</v>
      </c>
      <c r="P20" s="11">
        <v>45251</v>
      </c>
      <c r="Q20" s="11">
        <v>45219</v>
      </c>
      <c r="R20" s="11">
        <v>45250</v>
      </c>
      <c r="S20" s="11" t="s">
        <v>33</v>
      </c>
      <c r="T20"/>
      <c r="U20"/>
    </row>
    <row r="21" spans="1:21" s="21" customFormat="1" x14ac:dyDescent="0.3">
      <c r="A21" s="6">
        <v>531</v>
      </c>
      <c r="B21" t="s">
        <v>85</v>
      </c>
      <c r="C21" s="7" t="s">
        <v>22</v>
      </c>
      <c r="D21" s="7" t="s">
        <v>182</v>
      </c>
      <c r="E21" t="s">
        <v>86</v>
      </c>
      <c r="F21" t="s">
        <v>81</v>
      </c>
      <c r="G21" s="8">
        <v>-7.0083679374675634E-2</v>
      </c>
      <c r="H21" s="9">
        <v>23305061.77</v>
      </c>
      <c r="I21" s="9">
        <v>0</v>
      </c>
      <c r="J21" s="9">
        <v>0</v>
      </c>
      <c r="K21" s="8">
        <v>0</v>
      </c>
      <c r="L21" s="10">
        <v>23305061.77</v>
      </c>
      <c r="M21" s="10"/>
      <c r="N21" s="11">
        <v>45104</v>
      </c>
      <c r="O21" s="11">
        <v>46384</v>
      </c>
      <c r="P21" s="11">
        <v>46384</v>
      </c>
      <c r="Q21" s="12" t="s">
        <v>25</v>
      </c>
      <c r="R21" s="12" t="s">
        <v>25</v>
      </c>
      <c r="S21" s="12" t="s">
        <v>25</v>
      </c>
      <c r="T21" t="s">
        <v>87</v>
      </c>
      <c r="U21" t="s">
        <v>88</v>
      </c>
    </row>
    <row r="22" spans="1:21" s="21" customFormat="1" x14ac:dyDescent="0.3">
      <c r="A22" s="6">
        <v>532</v>
      </c>
      <c r="B22" t="s">
        <v>89</v>
      </c>
      <c r="C22" s="7" t="s">
        <v>30</v>
      </c>
      <c r="D22" s="7" t="s">
        <v>183</v>
      </c>
      <c r="E22" t="s">
        <v>90</v>
      </c>
      <c r="F22" t="s">
        <v>91</v>
      </c>
      <c r="G22" s="8">
        <v>-0.13955872228771171</v>
      </c>
      <c r="H22" s="9">
        <v>15011125.609999999</v>
      </c>
      <c r="I22" s="9">
        <v>3601149.67</v>
      </c>
      <c r="J22" s="9">
        <v>0</v>
      </c>
      <c r="K22" s="8">
        <v>0.23989871003417712</v>
      </c>
      <c r="L22" s="10">
        <v>18612275.280000001</v>
      </c>
      <c r="M22" s="10"/>
      <c r="N22" s="11">
        <v>45247</v>
      </c>
      <c r="O22" s="11">
        <v>45765</v>
      </c>
      <c r="P22" s="11">
        <v>45765</v>
      </c>
      <c r="Q22" s="11">
        <v>45764</v>
      </c>
      <c r="R22" s="11">
        <v>45988</v>
      </c>
      <c r="S22" s="11" t="s">
        <v>33</v>
      </c>
      <c r="T22"/>
      <c r="U22"/>
    </row>
    <row r="23" spans="1:21" s="21" customFormat="1" x14ac:dyDescent="0.3">
      <c r="A23" s="6">
        <v>533</v>
      </c>
      <c r="B23" t="s">
        <v>89</v>
      </c>
      <c r="C23" s="7" t="s">
        <v>22</v>
      </c>
      <c r="D23" s="7" t="s">
        <v>184</v>
      </c>
      <c r="E23" t="s">
        <v>92</v>
      </c>
      <c r="F23" t="s">
        <v>93</v>
      </c>
      <c r="G23" s="8">
        <v>-0.18004590951230504</v>
      </c>
      <c r="H23" s="9">
        <v>18621124.809999999</v>
      </c>
      <c r="I23" s="9">
        <v>0</v>
      </c>
      <c r="J23" s="9">
        <v>0</v>
      </c>
      <c r="K23" s="8">
        <v>0</v>
      </c>
      <c r="L23" s="10">
        <v>18621124.809999999</v>
      </c>
      <c r="M23" s="10"/>
      <c r="N23" s="11">
        <v>45429</v>
      </c>
      <c r="O23" s="11">
        <v>45794</v>
      </c>
      <c r="P23" s="11">
        <v>45794</v>
      </c>
      <c r="Q23" s="12" t="s">
        <v>25</v>
      </c>
      <c r="R23" s="12" t="s">
        <v>25</v>
      </c>
      <c r="S23" s="12" t="s">
        <v>25</v>
      </c>
      <c r="T23" t="s">
        <v>94</v>
      </c>
      <c r="U23"/>
    </row>
    <row r="24" spans="1:21" s="21" customFormat="1" x14ac:dyDescent="0.3">
      <c r="A24" s="26">
        <v>534</v>
      </c>
      <c r="B24" s="27" t="s">
        <v>95</v>
      </c>
      <c r="C24" s="28" t="s">
        <v>96</v>
      </c>
      <c r="D24" s="28" t="s">
        <v>185</v>
      </c>
      <c r="E24" s="27" t="s">
        <v>97</v>
      </c>
      <c r="F24" s="27" t="s">
        <v>98</v>
      </c>
      <c r="G24" s="29">
        <v>-0.1094</v>
      </c>
      <c r="H24" s="30">
        <v>7865352.2400000002</v>
      </c>
      <c r="I24" s="30">
        <v>0</v>
      </c>
      <c r="J24" s="30">
        <v>0</v>
      </c>
      <c r="K24" s="29">
        <v>0</v>
      </c>
      <c r="L24" s="31">
        <v>7865352.2400000002</v>
      </c>
      <c r="M24" s="31"/>
      <c r="N24" s="32">
        <v>45776</v>
      </c>
      <c r="O24" s="32">
        <v>46323</v>
      </c>
      <c r="P24" s="32">
        <v>46323</v>
      </c>
      <c r="Q24" s="33" t="s">
        <v>25</v>
      </c>
      <c r="R24" s="33" t="s">
        <v>25</v>
      </c>
      <c r="S24" s="33" t="s">
        <v>25</v>
      </c>
      <c r="T24" s="27" t="s">
        <v>99</v>
      </c>
      <c r="U24" s="27"/>
    </row>
    <row r="25" spans="1:21" s="21" customFormat="1" x14ac:dyDescent="0.3">
      <c r="A25" s="26">
        <v>535</v>
      </c>
      <c r="B25" s="27" t="s">
        <v>95</v>
      </c>
      <c r="C25" s="28" t="s">
        <v>96</v>
      </c>
      <c r="D25" s="28" t="s">
        <v>186</v>
      </c>
      <c r="E25" s="27" t="s">
        <v>100</v>
      </c>
      <c r="F25" s="27" t="s">
        <v>101</v>
      </c>
      <c r="G25" s="29">
        <v>-0.26229999999999998</v>
      </c>
      <c r="H25" s="30">
        <v>1669996.896786565</v>
      </c>
      <c r="I25" s="30">
        <v>0</v>
      </c>
      <c r="J25" s="30">
        <v>0</v>
      </c>
      <c r="K25" s="29">
        <v>0</v>
      </c>
      <c r="L25" s="31">
        <v>1669996.896786565</v>
      </c>
      <c r="M25" s="31"/>
      <c r="N25" s="32">
        <v>45884</v>
      </c>
      <c r="O25" s="32">
        <v>46249</v>
      </c>
      <c r="P25" s="32">
        <v>46249</v>
      </c>
      <c r="Q25" s="32" t="s">
        <v>102</v>
      </c>
      <c r="R25" s="32" t="s">
        <v>102</v>
      </c>
      <c r="S25" s="32" t="s">
        <v>102</v>
      </c>
      <c r="T25" s="27"/>
      <c r="U25" s="27"/>
    </row>
    <row r="26" spans="1:21" s="21" customFormat="1" x14ac:dyDescent="0.3">
      <c r="A26" s="6">
        <v>536</v>
      </c>
      <c r="B26" t="s">
        <v>103</v>
      </c>
      <c r="C26" s="7" t="s">
        <v>22</v>
      </c>
      <c r="D26" s="7" t="s">
        <v>187</v>
      </c>
      <c r="E26" t="s">
        <v>104</v>
      </c>
      <c r="F26" t="s">
        <v>105</v>
      </c>
      <c r="G26" s="8">
        <v>-5.3699999999999998E-2</v>
      </c>
      <c r="H26" s="9">
        <v>11554140.189999999</v>
      </c>
      <c r="I26" s="9">
        <v>0</v>
      </c>
      <c r="J26" s="9">
        <v>0</v>
      </c>
      <c r="K26" s="8">
        <v>0</v>
      </c>
      <c r="L26" s="10">
        <v>11554140.189999999</v>
      </c>
      <c r="M26" s="10">
        <v>10823734.328303298</v>
      </c>
      <c r="N26" s="11">
        <v>45960</v>
      </c>
      <c r="O26" s="11">
        <v>46500</v>
      </c>
      <c r="P26" s="11">
        <v>46500</v>
      </c>
      <c r="Q26" s="12" t="s">
        <v>25</v>
      </c>
      <c r="R26" s="12" t="s">
        <v>25</v>
      </c>
      <c r="S26" s="12" t="s">
        <v>25</v>
      </c>
      <c r="T26" t="s">
        <v>106</v>
      </c>
      <c r="U26" t="s">
        <v>107</v>
      </c>
    </row>
    <row r="27" spans="1:21" s="21" customFormat="1" x14ac:dyDescent="0.3">
      <c r="A27" s="6">
        <v>537</v>
      </c>
      <c r="B27" t="s">
        <v>108</v>
      </c>
      <c r="C27" s="7" t="s">
        <v>22</v>
      </c>
      <c r="D27" s="7" t="s">
        <v>188</v>
      </c>
      <c r="E27" t="s">
        <v>109</v>
      </c>
      <c r="F27" t="s">
        <v>110</v>
      </c>
      <c r="G27" s="8">
        <v>-0.18479999999999999</v>
      </c>
      <c r="H27" s="9">
        <v>17450000</v>
      </c>
      <c r="I27" s="9">
        <v>0</v>
      </c>
      <c r="J27" s="9">
        <v>0</v>
      </c>
      <c r="K27" s="8">
        <v>0</v>
      </c>
      <c r="L27" s="10">
        <v>17450000</v>
      </c>
      <c r="M27" s="10">
        <v>16922781.937599998</v>
      </c>
      <c r="N27" s="11">
        <v>46052</v>
      </c>
      <c r="O27" s="11">
        <v>46532</v>
      </c>
      <c r="P27" s="11">
        <v>46532</v>
      </c>
      <c r="Q27" s="12" t="s">
        <v>25</v>
      </c>
      <c r="R27" s="12" t="s">
        <v>25</v>
      </c>
      <c r="S27" s="12" t="s">
        <v>25</v>
      </c>
      <c r="T27" t="s">
        <v>111</v>
      </c>
      <c r="U27"/>
    </row>
    <row r="28" spans="1:21" s="21" customFormat="1" x14ac:dyDescent="0.3">
      <c r="A28" s="6">
        <v>538</v>
      </c>
      <c r="B28" t="s">
        <v>112</v>
      </c>
      <c r="C28" s="7" t="s">
        <v>22</v>
      </c>
      <c r="D28" s="7" t="s">
        <v>189</v>
      </c>
      <c r="E28" t="s">
        <v>113</v>
      </c>
      <c r="F28" t="s">
        <v>81</v>
      </c>
      <c r="G28" s="8">
        <v>0.14451113674400895</v>
      </c>
      <c r="H28" s="9">
        <v>28463257.73</v>
      </c>
      <c r="I28" s="9"/>
      <c r="J28" s="9"/>
      <c r="K28" s="8">
        <v>0</v>
      </c>
      <c r="L28" s="10">
        <v>24350000</v>
      </c>
      <c r="M28" s="10"/>
      <c r="N28" s="11">
        <v>46153</v>
      </c>
      <c r="O28" s="11">
        <v>46884</v>
      </c>
      <c r="P28" s="11">
        <v>46884</v>
      </c>
      <c r="Q28" s="12" t="s">
        <v>25</v>
      </c>
      <c r="R28" s="12" t="s">
        <v>25</v>
      </c>
      <c r="S28" s="12" t="s">
        <v>25</v>
      </c>
      <c r="T28" t="s">
        <v>114</v>
      </c>
      <c r="U28"/>
    </row>
    <row r="29" spans="1:21" s="21" customFormat="1" x14ac:dyDescent="0.3">
      <c r="A29" s="13">
        <v>540</v>
      </c>
      <c r="B29" s="14"/>
      <c r="C29" s="15" t="s">
        <v>22</v>
      </c>
      <c r="D29" s="15" t="s">
        <v>190</v>
      </c>
      <c r="E29" s="14"/>
      <c r="F29" s="14" t="s">
        <v>115</v>
      </c>
      <c r="G29" s="16"/>
      <c r="H29" s="17"/>
      <c r="I29" s="17"/>
      <c r="J29" s="17"/>
      <c r="K29" s="16"/>
      <c r="L29" s="18"/>
      <c r="M29" s="18"/>
      <c r="N29" s="19"/>
      <c r="O29" s="19"/>
      <c r="P29" s="19"/>
      <c r="Q29" s="19" t="s">
        <v>25</v>
      </c>
      <c r="R29" s="19" t="s">
        <v>25</v>
      </c>
      <c r="S29" s="19" t="s">
        <v>25</v>
      </c>
      <c r="T29" s="14" t="s">
        <v>116</v>
      </c>
      <c r="U29" s="14"/>
    </row>
    <row r="30" spans="1:21" s="21" customFormat="1" x14ac:dyDescent="0.3">
      <c r="A30" s="6">
        <v>600</v>
      </c>
      <c r="B30" t="s">
        <v>117</v>
      </c>
      <c r="C30" s="7" t="s">
        <v>30</v>
      </c>
      <c r="D30" s="7" t="s">
        <v>191</v>
      </c>
      <c r="E30" t="s">
        <v>118</v>
      </c>
      <c r="F30" t="s">
        <v>119</v>
      </c>
      <c r="G30" s="8">
        <v>-0.27934593089764204</v>
      </c>
      <c r="H30" s="9">
        <v>3935757</v>
      </c>
      <c r="I30" s="9"/>
      <c r="J30" s="9">
        <v>-2454732.14</v>
      </c>
      <c r="K30" s="8">
        <v>0</v>
      </c>
      <c r="L30" s="10">
        <v>1481024.8599999999</v>
      </c>
      <c r="M30" s="10"/>
      <c r="N30" s="11">
        <v>44552</v>
      </c>
      <c r="O30" s="11">
        <v>44917</v>
      </c>
      <c r="P30" s="11">
        <v>44917</v>
      </c>
      <c r="Q30" s="11">
        <v>44917</v>
      </c>
      <c r="R30" s="11">
        <v>44917</v>
      </c>
      <c r="S30" s="11" t="s">
        <v>33</v>
      </c>
      <c r="T30"/>
      <c r="U30"/>
    </row>
    <row r="31" spans="1:21" s="21" customFormat="1" x14ac:dyDescent="0.3">
      <c r="A31" s="6">
        <v>636</v>
      </c>
      <c r="B31" t="s">
        <v>120</v>
      </c>
      <c r="C31" s="7" t="s">
        <v>22</v>
      </c>
      <c r="D31" s="7" t="s">
        <v>192</v>
      </c>
      <c r="E31" t="s">
        <v>121</v>
      </c>
      <c r="F31" t="s">
        <v>81</v>
      </c>
      <c r="G31" s="8"/>
      <c r="H31" s="9">
        <v>4199822.5199999996</v>
      </c>
      <c r="I31" s="9">
        <v>4758004.1318431199</v>
      </c>
      <c r="J31" s="9">
        <v>0</v>
      </c>
      <c r="K31" s="8">
        <v>1.1329060000000002</v>
      </c>
      <c r="L31" s="10">
        <v>8957826.6518431194</v>
      </c>
      <c r="M31" s="10">
        <f>3234267.84*2</f>
        <v>6468535.6799999997</v>
      </c>
      <c r="N31" s="11">
        <v>45341</v>
      </c>
      <c r="O31" s="11">
        <v>46071</v>
      </c>
      <c r="P31" s="11">
        <v>46071</v>
      </c>
      <c r="Q31" s="12" t="s">
        <v>25</v>
      </c>
      <c r="R31" s="12" t="s">
        <v>25</v>
      </c>
      <c r="S31" s="12" t="s">
        <v>25</v>
      </c>
      <c r="T31" t="s">
        <v>122</v>
      </c>
      <c r="U31"/>
    </row>
    <row r="32" spans="1:21" x14ac:dyDescent="0.3">
      <c r="A32" s="6">
        <v>701</v>
      </c>
      <c r="B32" t="s">
        <v>123</v>
      </c>
      <c r="C32" s="7" t="s">
        <v>30</v>
      </c>
      <c r="D32" s="7" t="s">
        <v>193</v>
      </c>
      <c r="E32" t="s">
        <v>124</v>
      </c>
      <c r="F32" t="s">
        <v>125</v>
      </c>
      <c r="G32" s="8">
        <v>-0.15715653390056872</v>
      </c>
      <c r="H32" s="9">
        <v>877817.93</v>
      </c>
      <c r="I32" s="9">
        <v>49797.880000000005</v>
      </c>
      <c r="J32" s="9">
        <v>0</v>
      </c>
      <c r="K32" s="8">
        <v>5.6729167060873317E-2</v>
      </c>
      <c r="L32" s="10">
        <v>927615.81</v>
      </c>
      <c r="M32" s="10"/>
      <c r="N32" s="11">
        <v>44664</v>
      </c>
      <c r="O32" s="11">
        <v>45212</v>
      </c>
      <c r="P32" s="11">
        <v>45212</v>
      </c>
      <c r="Q32" s="11">
        <v>45237</v>
      </c>
      <c r="R32" s="11">
        <v>45267</v>
      </c>
      <c r="S32" s="11" t="s">
        <v>33</v>
      </c>
    </row>
    <row r="33" spans="1:21" x14ac:dyDescent="0.3">
      <c r="A33" s="6">
        <v>702</v>
      </c>
      <c r="B33" t="s">
        <v>123</v>
      </c>
      <c r="C33" s="7" t="s">
        <v>30</v>
      </c>
      <c r="D33" s="7" t="s">
        <v>194</v>
      </c>
      <c r="E33" t="s">
        <v>126</v>
      </c>
      <c r="F33" t="s">
        <v>127</v>
      </c>
      <c r="G33" s="8">
        <v>-0.16919547464298557</v>
      </c>
      <c r="H33" s="9">
        <v>1923144.77</v>
      </c>
      <c r="I33" s="9">
        <v>186356.34999999963</v>
      </c>
      <c r="J33" s="9">
        <v>0</v>
      </c>
      <c r="K33" s="8">
        <v>9.6901883262797542E-2</v>
      </c>
      <c r="L33" s="10">
        <v>2109501.1199999996</v>
      </c>
      <c r="M33" s="10"/>
      <c r="N33" s="11">
        <v>44663</v>
      </c>
      <c r="O33" s="11">
        <v>45199</v>
      </c>
      <c r="P33" s="11">
        <v>45199</v>
      </c>
      <c r="Q33" s="11">
        <v>45243</v>
      </c>
      <c r="R33" s="11">
        <v>45273</v>
      </c>
      <c r="S33" s="11" t="s">
        <v>33</v>
      </c>
    </row>
    <row r="34" spans="1:21" x14ac:dyDescent="0.3">
      <c r="A34" s="6">
        <v>703</v>
      </c>
      <c r="B34" t="s">
        <v>128</v>
      </c>
      <c r="C34" s="7" t="s">
        <v>30</v>
      </c>
      <c r="D34" s="7" t="s">
        <v>195</v>
      </c>
      <c r="E34" t="s">
        <v>129</v>
      </c>
      <c r="F34" t="s">
        <v>130</v>
      </c>
      <c r="G34" s="8">
        <v>-0.15378144254217829</v>
      </c>
      <c r="H34" s="9">
        <v>1497467.75</v>
      </c>
      <c r="I34" s="9">
        <v>142616.41000000015</v>
      </c>
      <c r="J34" s="9">
        <v>0</v>
      </c>
      <c r="K34" s="8">
        <v>9.5238384933498663E-2</v>
      </c>
      <c r="L34" s="10">
        <v>1640084.1600000001</v>
      </c>
      <c r="M34" s="10"/>
      <c r="N34" s="11">
        <v>44650</v>
      </c>
      <c r="O34" s="11">
        <v>45107</v>
      </c>
      <c r="P34" s="11">
        <v>45107</v>
      </c>
      <c r="Q34" s="11">
        <v>45020</v>
      </c>
      <c r="R34" s="11">
        <v>45050</v>
      </c>
      <c r="S34" s="11" t="s">
        <v>33</v>
      </c>
    </row>
    <row r="35" spans="1:21" x14ac:dyDescent="0.3">
      <c r="A35" s="20">
        <v>704</v>
      </c>
      <c r="B35" s="21" t="s">
        <v>131</v>
      </c>
      <c r="C35" s="22" t="s">
        <v>35</v>
      </c>
      <c r="D35" s="22" t="s">
        <v>196</v>
      </c>
      <c r="E35" s="21" t="s">
        <v>132</v>
      </c>
      <c r="F35" s="21" t="s">
        <v>133</v>
      </c>
      <c r="G35" s="23">
        <v>-0.13269048542636264</v>
      </c>
      <c r="H35" s="24">
        <v>749082.99</v>
      </c>
      <c r="I35" s="24">
        <v>90333.079999999958</v>
      </c>
      <c r="J35" s="24">
        <v>0</v>
      </c>
      <c r="K35" s="23">
        <v>0.12059155154490954</v>
      </c>
      <c r="L35" s="25">
        <v>839416.07</v>
      </c>
      <c r="M35" s="25"/>
      <c r="N35" s="12">
        <v>44706</v>
      </c>
      <c r="O35" s="12">
        <v>45040</v>
      </c>
      <c r="P35" s="12">
        <v>45040</v>
      </c>
      <c r="Q35" s="12">
        <v>45009</v>
      </c>
      <c r="R35" s="12">
        <v>45040</v>
      </c>
      <c r="S35" s="12" t="s">
        <v>25</v>
      </c>
      <c r="T35" s="21" t="s">
        <v>134</v>
      </c>
      <c r="U35" s="21" t="s">
        <v>135</v>
      </c>
    </row>
    <row r="36" spans="1:21" x14ac:dyDescent="0.3">
      <c r="A36" s="20">
        <v>705</v>
      </c>
      <c r="B36" s="21" t="s">
        <v>131</v>
      </c>
      <c r="C36" s="22" t="s">
        <v>35</v>
      </c>
      <c r="D36" s="22" t="s">
        <v>197</v>
      </c>
      <c r="E36" s="21" t="s">
        <v>132</v>
      </c>
      <c r="F36" s="21" t="s">
        <v>136</v>
      </c>
      <c r="G36" s="23">
        <v>-0.11358746482461357</v>
      </c>
      <c r="H36" s="24">
        <v>302712.53999999998</v>
      </c>
      <c r="I36" s="24">
        <v>0</v>
      </c>
      <c r="J36" s="24">
        <v>-53502.149999999965</v>
      </c>
      <c r="K36" s="23">
        <v>0</v>
      </c>
      <c r="L36" s="25">
        <v>249210.39</v>
      </c>
      <c r="M36" s="25"/>
      <c r="N36" s="12">
        <v>44706</v>
      </c>
      <c r="O36" s="12">
        <v>45040</v>
      </c>
      <c r="P36" s="12">
        <v>45040</v>
      </c>
      <c r="Q36" s="12">
        <v>45009</v>
      </c>
      <c r="R36" s="12">
        <v>45040</v>
      </c>
      <c r="S36" s="12" t="s">
        <v>25</v>
      </c>
      <c r="T36" s="21" t="s">
        <v>134</v>
      </c>
      <c r="U36" s="21" t="s">
        <v>135</v>
      </c>
    </row>
    <row r="37" spans="1:21" x14ac:dyDescent="0.3">
      <c r="A37" s="20">
        <v>706</v>
      </c>
      <c r="B37" s="21" t="s">
        <v>131</v>
      </c>
      <c r="C37" s="22" t="s">
        <v>35</v>
      </c>
      <c r="D37" s="22" t="s">
        <v>198</v>
      </c>
      <c r="E37" s="21" t="s">
        <v>132</v>
      </c>
      <c r="F37" s="21" t="s">
        <v>137</v>
      </c>
      <c r="G37" s="23">
        <v>-0.21596357362027763</v>
      </c>
      <c r="H37" s="24">
        <v>363181.62</v>
      </c>
      <c r="I37" s="24">
        <v>0</v>
      </c>
      <c r="J37" s="24">
        <v>-8384.8800000000047</v>
      </c>
      <c r="K37" s="23">
        <v>0</v>
      </c>
      <c r="L37" s="25">
        <v>354796.74</v>
      </c>
      <c r="M37" s="25"/>
      <c r="N37" s="12">
        <v>44706</v>
      </c>
      <c r="O37" s="12">
        <v>45040</v>
      </c>
      <c r="P37" s="12">
        <v>45040</v>
      </c>
      <c r="Q37" s="12">
        <v>45009</v>
      </c>
      <c r="R37" s="12">
        <v>45040</v>
      </c>
      <c r="S37" s="12" t="s">
        <v>25</v>
      </c>
      <c r="T37" s="21" t="s">
        <v>134</v>
      </c>
      <c r="U37" s="21" t="s">
        <v>135</v>
      </c>
    </row>
    <row r="38" spans="1:21" x14ac:dyDescent="0.3">
      <c r="A38" s="6">
        <v>707</v>
      </c>
      <c r="B38" t="s">
        <v>138</v>
      </c>
      <c r="C38" s="7" t="s">
        <v>30</v>
      </c>
      <c r="D38" s="7" t="s">
        <v>199</v>
      </c>
      <c r="E38" t="s">
        <v>139</v>
      </c>
      <c r="F38" t="s">
        <v>140</v>
      </c>
      <c r="G38" s="8">
        <v>-0.24987539245994805</v>
      </c>
      <c r="H38" s="9">
        <v>928885.22</v>
      </c>
      <c r="I38" s="9">
        <v>80672.010000000009</v>
      </c>
      <c r="J38" s="9">
        <v>0</v>
      </c>
      <c r="K38" s="8">
        <v>8.6848200685118032E-2</v>
      </c>
      <c r="L38" s="10">
        <v>1009557.23</v>
      </c>
      <c r="M38" s="10"/>
      <c r="N38" s="11">
        <v>44742</v>
      </c>
      <c r="O38" s="11">
        <v>45058</v>
      </c>
      <c r="P38" s="11">
        <v>45058</v>
      </c>
      <c r="Q38" s="11">
        <v>45058</v>
      </c>
      <c r="R38" s="11">
        <v>45089</v>
      </c>
      <c r="S38" s="11" t="s">
        <v>33</v>
      </c>
    </row>
    <row r="39" spans="1:21" x14ac:dyDescent="0.3">
      <c r="A39" s="6">
        <v>708</v>
      </c>
      <c r="B39" t="s">
        <v>138</v>
      </c>
      <c r="C39" s="7" t="s">
        <v>30</v>
      </c>
      <c r="D39" s="7" t="s">
        <v>200</v>
      </c>
      <c r="E39" t="s">
        <v>139</v>
      </c>
      <c r="F39" t="s">
        <v>105</v>
      </c>
      <c r="G39" s="8">
        <v>-0.24074528884626434</v>
      </c>
      <c r="H39" s="9">
        <v>928148.12</v>
      </c>
      <c r="I39" s="9">
        <v>90926.520000000019</v>
      </c>
      <c r="J39" s="9">
        <v>0</v>
      </c>
      <c r="K39" s="8">
        <v>9.7965527312601802E-2</v>
      </c>
      <c r="L39" s="10">
        <v>1019074.64</v>
      </c>
      <c r="M39" s="10"/>
      <c r="N39" s="11">
        <v>44742</v>
      </c>
      <c r="O39" s="11">
        <v>45058</v>
      </c>
      <c r="P39" s="11">
        <v>45058</v>
      </c>
      <c r="Q39" s="11">
        <v>45050</v>
      </c>
      <c r="R39" s="11">
        <v>45082</v>
      </c>
      <c r="S39" s="11" t="s">
        <v>33</v>
      </c>
    </row>
    <row r="40" spans="1:21" x14ac:dyDescent="0.3">
      <c r="A40" s="6">
        <v>709</v>
      </c>
      <c r="B40" t="s">
        <v>141</v>
      </c>
      <c r="C40" s="7" t="s">
        <v>30</v>
      </c>
      <c r="D40" s="7" t="s">
        <v>201</v>
      </c>
      <c r="E40" t="s">
        <v>139</v>
      </c>
      <c r="F40" t="s">
        <v>142</v>
      </c>
      <c r="G40" s="8">
        <v>-0.17785697008386547</v>
      </c>
      <c r="H40" s="9">
        <v>924170.23999999999</v>
      </c>
      <c r="I40" s="9">
        <v>90182.209999999963</v>
      </c>
      <c r="J40" s="9">
        <v>0</v>
      </c>
      <c r="K40" s="8">
        <v>9.7581815662014793E-2</v>
      </c>
      <c r="L40" s="10">
        <v>1014352.45</v>
      </c>
      <c r="M40" s="10"/>
      <c r="N40" s="11">
        <v>44739</v>
      </c>
      <c r="O40" s="11">
        <v>45107</v>
      </c>
      <c r="P40" s="11">
        <v>45107</v>
      </c>
      <c r="Q40" s="11">
        <v>45107</v>
      </c>
      <c r="R40" s="11">
        <v>45138</v>
      </c>
      <c r="S40" s="11" t="s">
        <v>33</v>
      </c>
    </row>
    <row r="41" spans="1:21" x14ac:dyDescent="0.3">
      <c r="A41" s="6">
        <v>710</v>
      </c>
      <c r="B41" t="s">
        <v>141</v>
      </c>
      <c r="C41" s="7" t="s">
        <v>30</v>
      </c>
      <c r="D41" s="7" t="s">
        <v>202</v>
      </c>
      <c r="E41" t="s">
        <v>139</v>
      </c>
      <c r="F41" t="s">
        <v>142</v>
      </c>
      <c r="G41" s="8">
        <v>-0.17740918783402337</v>
      </c>
      <c r="H41" s="9">
        <v>1155377.6000000001</v>
      </c>
      <c r="I41" s="9">
        <v>110349.71999999997</v>
      </c>
      <c r="J41" s="9">
        <v>0</v>
      </c>
      <c r="K41" s="8">
        <v>9.5509658487407029E-2</v>
      </c>
      <c r="L41" s="10">
        <v>1265727.32</v>
      </c>
      <c r="M41" s="10"/>
      <c r="N41" s="11">
        <v>44739</v>
      </c>
      <c r="O41" s="11">
        <v>45107</v>
      </c>
      <c r="P41" s="11">
        <v>45107</v>
      </c>
      <c r="Q41" s="11">
        <v>45107</v>
      </c>
      <c r="R41" s="11">
        <v>45138</v>
      </c>
      <c r="S41" s="11" t="s">
        <v>33</v>
      </c>
    </row>
    <row r="42" spans="1:21" x14ac:dyDescent="0.3">
      <c r="A42" s="20">
        <v>711</v>
      </c>
      <c r="B42" s="21" t="s">
        <v>143</v>
      </c>
      <c r="C42" s="22" t="s">
        <v>35</v>
      </c>
      <c r="D42" s="22" t="s">
        <v>203</v>
      </c>
      <c r="E42" s="21" t="s">
        <v>144</v>
      </c>
      <c r="F42" s="21" t="s">
        <v>145</v>
      </c>
      <c r="G42" s="23">
        <v>-0.23080568942153334</v>
      </c>
      <c r="H42" s="24">
        <v>9635814</v>
      </c>
      <c r="I42" s="24">
        <v>813145.12999999896</v>
      </c>
      <c r="J42" s="24">
        <v>0</v>
      </c>
      <c r="K42" s="23">
        <v>8.4387798477637582E-2</v>
      </c>
      <c r="L42" s="25">
        <v>10448959.129999999</v>
      </c>
      <c r="M42" s="25"/>
      <c r="N42" s="12">
        <v>44781</v>
      </c>
      <c r="O42" s="12">
        <v>45329</v>
      </c>
      <c r="P42" s="12">
        <v>45329</v>
      </c>
      <c r="Q42" s="12">
        <v>45764</v>
      </c>
      <c r="R42" s="12" t="s">
        <v>25</v>
      </c>
      <c r="S42" s="12" t="s">
        <v>25</v>
      </c>
      <c r="T42" s="21" t="s">
        <v>134</v>
      </c>
      <c r="U42" s="21" t="s">
        <v>135</v>
      </c>
    </row>
    <row r="43" spans="1:21" x14ac:dyDescent="0.3">
      <c r="A43" s="6">
        <v>800</v>
      </c>
      <c r="B43" t="s">
        <v>64</v>
      </c>
      <c r="C43" s="7" t="s">
        <v>30</v>
      </c>
      <c r="D43" s="7" t="s">
        <v>204</v>
      </c>
      <c r="E43" t="s">
        <v>146</v>
      </c>
      <c r="F43" t="s">
        <v>147</v>
      </c>
      <c r="G43" s="8">
        <v>-8.0083964224380688E-2</v>
      </c>
      <c r="H43" s="9">
        <v>14470567.939999999</v>
      </c>
      <c r="I43" s="9">
        <v>3612754.74</v>
      </c>
      <c r="J43" s="9">
        <v>0</v>
      </c>
      <c r="K43" s="8">
        <v>0.2496622630832277</v>
      </c>
      <c r="L43" s="10">
        <v>18083322.68</v>
      </c>
      <c r="M43" s="10"/>
      <c r="N43" s="11">
        <v>44734</v>
      </c>
      <c r="O43" s="11">
        <v>45557</v>
      </c>
      <c r="P43" s="11">
        <v>45735</v>
      </c>
      <c r="Q43" s="11">
        <v>45630</v>
      </c>
      <c r="R43" s="11">
        <v>45630</v>
      </c>
      <c r="S43" s="11" t="s">
        <v>33</v>
      </c>
    </row>
    <row r="44" spans="1:21" x14ac:dyDescent="0.3">
      <c r="A44" s="20">
        <v>801</v>
      </c>
      <c r="B44" s="21" t="s">
        <v>148</v>
      </c>
      <c r="C44" s="22" t="s">
        <v>35</v>
      </c>
      <c r="D44" s="22" t="s">
        <v>205</v>
      </c>
      <c r="E44" s="21" t="s">
        <v>149</v>
      </c>
      <c r="F44" s="21" t="s">
        <v>150</v>
      </c>
      <c r="G44" s="23">
        <v>-4.9999998181748939E-4</v>
      </c>
      <c r="H44" s="24">
        <v>15810118.880000001</v>
      </c>
      <c r="I44" s="24">
        <v>0</v>
      </c>
      <c r="J44" s="24">
        <v>0</v>
      </c>
      <c r="K44" s="23">
        <v>0</v>
      </c>
      <c r="L44" s="25">
        <v>15810118.880000001</v>
      </c>
      <c r="M44" s="25"/>
      <c r="N44" s="12">
        <v>45243</v>
      </c>
      <c r="O44" s="12">
        <v>45694</v>
      </c>
      <c r="P44" s="12">
        <v>45694</v>
      </c>
      <c r="Q44" s="12" t="s">
        <v>25</v>
      </c>
      <c r="R44" s="12" t="s">
        <v>25</v>
      </c>
      <c r="S44" s="12" t="s">
        <v>25</v>
      </c>
      <c r="T44" s="21" t="s">
        <v>151</v>
      </c>
      <c r="U44" s="21" t="s">
        <v>152</v>
      </c>
    </row>
    <row r="45" spans="1:21" x14ac:dyDescent="0.3">
      <c r="A45" s="20">
        <v>901</v>
      </c>
      <c r="B45" s="21" t="s">
        <v>153</v>
      </c>
      <c r="C45" s="22" t="s">
        <v>35</v>
      </c>
      <c r="D45" s="22" t="s">
        <v>206</v>
      </c>
      <c r="E45" s="21" t="s">
        <v>154</v>
      </c>
      <c r="F45" s="21" t="s">
        <v>155</v>
      </c>
      <c r="G45" s="23">
        <v>-0.15620000000000001</v>
      </c>
      <c r="H45" s="24">
        <v>142265.17000000001</v>
      </c>
      <c r="I45" s="24">
        <v>0</v>
      </c>
      <c r="J45" s="24">
        <v>0</v>
      </c>
      <c r="K45" s="23">
        <v>0</v>
      </c>
      <c r="L45" s="25">
        <v>142265.17000000001</v>
      </c>
      <c r="M45" s="25"/>
      <c r="N45" s="12">
        <v>45853</v>
      </c>
      <c r="O45" s="12">
        <v>45926</v>
      </c>
      <c r="P45" s="12">
        <v>45926</v>
      </c>
      <c r="Q45" s="12" t="s">
        <v>25</v>
      </c>
      <c r="R45" s="12" t="s">
        <v>25</v>
      </c>
      <c r="S45" s="12" t="s">
        <v>25</v>
      </c>
      <c r="T45" s="21"/>
      <c r="U45" s="21"/>
    </row>
    <row r="46" spans="1:21" x14ac:dyDescent="0.3">
      <c r="A46" s="20">
        <v>902</v>
      </c>
      <c r="B46" s="21" t="s">
        <v>153</v>
      </c>
      <c r="C46" s="22" t="s">
        <v>35</v>
      </c>
      <c r="D46" s="22" t="s">
        <v>207</v>
      </c>
      <c r="E46" s="21" t="s">
        <v>154</v>
      </c>
      <c r="F46" s="21" t="s">
        <v>156</v>
      </c>
      <c r="G46" s="23">
        <v>-0.15620000000000001</v>
      </c>
      <c r="H46" s="24">
        <v>1614588.53</v>
      </c>
      <c r="I46" s="24">
        <v>0</v>
      </c>
      <c r="J46" s="24">
        <v>0</v>
      </c>
      <c r="K46" s="23">
        <v>0</v>
      </c>
      <c r="L46" s="25">
        <v>1614588.53</v>
      </c>
      <c r="M46" s="25"/>
      <c r="N46" s="12">
        <v>45870</v>
      </c>
      <c r="O46" s="12">
        <v>45991</v>
      </c>
      <c r="P46" s="12">
        <v>45991</v>
      </c>
      <c r="Q46" s="12" t="s">
        <v>25</v>
      </c>
      <c r="R46" s="12" t="s">
        <v>25</v>
      </c>
      <c r="S46" s="12" t="s">
        <v>25</v>
      </c>
      <c r="T46" s="21"/>
      <c r="U46" s="21"/>
    </row>
    <row r="47" spans="1:21" x14ac:dyDescent="0.3">
      <c r="A47" s="20">
        <v>903</v>
      </c>
      <c r="B47" s="21" t="s">
        <v>153</v>
      </c>
      <c r="C47" s="22" t="s">
        <v>35</v>
      </c>
      <c r="D47" s="22" t="s">
        <v>208</v>
      </c>
      <c r="E47" s="21" t="s">
        <v>154</v>
      </c>
      <c r="F47" s="21" t="s">
        <v>157</v>
      </c>
      <c r="G47" s="23">
        <v>-0.15620000000000001</v>
      </c>
      <c r="H47" s="24">
        <v>957074.95</v>
      </c>
      <c r="I47" s="24">
        <v>0</v>
      </c>
      <c r="J47" s="24">
        <v>0</v>
      </c>
      <c r="K47" s="23">
        <v>0</v>
      </c>
      <c r="L47" s="25">
        <v>957074.95</v>
      </c>
      <c r="M47" s="25"/>
      <c r="N47" s="12">
        <v>45933</v>
      </c>
      <c r="O47" s="12">
        <v>45993</v>
      </c>
      <c r="P47" s="12">
        <v>45993</v>
      </c>
      <c r="Q47" s="12" t="s">
        <v>25</v>
      </c>
      <c r="R47" s="12" t="s">
        <v>25</v>
      </c>
      <c r="S47" s="12" t="s">
        <v>25</v>
      </c>
      <c r="T47" s="21"/>
      <c r="U47" s="21"/>
    </row>
    <row r="48" spans="1:21" x14ac:dyDescent="0.3">
      <c r="A48" s="6">
        <v>904</v>
      </c>
      <c r="B48" t="s">
        <v>153</v>
      </c>
      <c r="C48" s="7" t="s">
        <v>22</v>
      </c>
      <c r="D48" s="7" t="s">
        <v>209</v>
      </c>
      <c r="E48" t="s">
        <v>154</v>
      </c>
      <c r="F48" t="s">
        <v>158</v>
      </c>
      <c r="G48" s="8">
        <v>-0.15620000000000001</v>
      </c>
      <c r="H48" s="9">
        <v>675837.04</v>
      </c>
      <c r="I48" s="9">
        <v>0</v>
      </c>
      <c r="J48" s="9">
        <v>0</v>
      </c>
      <c r="K48" s="8">
        <v>0</v>
      </c>
      <c r="L48" s="10">
        <v>675837.04</v>
      </c>
      <c r="M48" s="10"/>
      <c r="N48" s="11">
        <v>45933</v>
      </c>
      <c r="O48" s="11">
        <v>45993</v>
      </c>
      <c r="P48" s="11">
        <v>45926</v>
      </c>
      <c r="Q48" s="12" t="s">
        <v>25</v>
      </c>
      <c r="R48" s="12" t="s">
        <v>25</v>
      </c>
      <c r="S48" s="12" t="s">
        <v>25</v>
      </c>
      <c r="T48" t="s">
        <v>159</v>
      </c>
    </row>
    <row r="49" spans="1:20" x14ac:dyDescent="0.3">
      <c r="A49" s="6">
        <v>905</v>
      </c>
      <c r="B49" t="s">
        <v>153</v>
      </c>
      <c r="C49" s="7" t="s">
        <v>22</v>
      </c>
      <c r="D49" s="7" t="s">
        <v>210</v>
      </c>
      <c r="E49" t="s">
        <v>154</v>
      </c>
      <c r="F49" t="s">
        <v>160</v>
      </c>
      <c r="G49" s="8">
        <v>-0.15620000000000001</v>
      </c>
      <c r="H49" s="9">
        <v>3503470.33</v>
      </c>
      <c r="I49" s="9">
        <v>0</v>
      </c>
      <c r="J49" s="9">
        <v>0</v>
      </c>
      <c r="K49" s="8">
        <v>0</v>
      </c>
      <c r="L49" s="10">
        <v>3503470.33</v>
      </c>
      <c r="M49" s="10"/>
      <c r="N49" s="11">
        <v>45936</v>
      </c>
      <c r="O49" s="11">
        <v>46086</v>
      </c>
      <c r="P49" s="11">
        <v>46086</v>
      </c>
      <c r="Q49" s="12" t="s">
        <v>25</v>
      </c>
      <c r="R49" s="12" t="s">
        <v>25</v>
      </c>
      <c r="S49" s="12" t="s">
        <v>25</v>
      </c>
      <c r="T49" t="s">
        <v>161</v>
      </c>
    </row>
    <row r="50" spans="1:20" x14ac:dyDescent="0.3">
      <c r="B50" t="s">
        <v>153</v>
      </c>
      <c r="C50" s="7" t="s">
        <v>30</v>
      </c>
      <c r="D50" s="7"/>
      <c r="E50" t="s">
        <v>162</v>
      </c>
      <c r="F50" t="s">
        <v>110</v>
      </c>
      <c r="G50" s="8">
        <v>-0.15620000000000001</v>
      </c>
      <c r="H50" s="9">
        <v>1024513.45</v>
      </c>
      <c r="I50" s="9">
        <v>0</v>
      </c>
      <c r="J50" s="9">
        <v>0</v>
      </c>
      <c r="K50" s="8">
        <v>0</v>
      </c>
      <c r="L50" s="10">
        <v>1024513.45</v>
      </c>
      <c r="M50" s="10"/>
      <c r="N50" s="11">
        <v>46068</v>
      </c>
      <c r="O50" s="11">
        <v>46107</v>
      </c>
      <c r="P50" s="11">
        <v>46107</v>
      </c>
      <c r="Q50" s="12" t="s">
        <v>25</v>
      </c>
      <c r="R50" s="12" t="s">
        <v>25</v>
      </c>
      <c r="S50" s="12" t="s">
        <v>25</v>
      </c>
    </row>
  </sheetData>
  <pageMargins left="0.75" right="0.75" top="1" bottom="1" header="0.5" footer="0.5"/>
  <ignoredErrors>
    <ignoredError sqref="D2:D4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Macedo de Santana</dc:creator>
  <cp:lastModifiedBy>Dayane Macedo de Santana</cp:lastModifiedBy>
  <dcterms:created xsi:type="dcterms:W3CDTF">2026-09-09T14:56:54Z</dcterms:created>
  <dcterms:modified xsi:type="dcterms:W3CDTF">2026-09-09T15:14:49Z</dcterms:modified>
</cp:coreProperties>
</file>